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01d36ddca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f2fc739d2b047c7"/>
    <x:sheet xmlns:r="http://schemas.openxmlformats.org/officeDocument/2006/relationships" name="Labels" sheetId="2" r:id="Ra2760dc7bc604852"/>
    <x:sheet xmlns:r="http://schemas.openxmlformats.org/officeDocument/2006/relationships" name="Summary" sheetId="3" r:id="R57daf9ad4e7c4c5f"/>
  </x:sheets>
</x:workbook>
</file>

<file path=xl/comments1.xml><?xml version="1.0" encoding="utf-8"?>
<x:comments xmlns:x="http://schemas.openxmlformats.org/spreadsheetml/2006/main">
  <x:authors>
    <x:author>Pre-label assistant</x:author>
  </x:authors>
  <x:commentList>
    <x:comment ref="AF2" authorId="0">
      <x:text>
        <x:r>
          <x:t>Edit this cell to set the final gold label for "weak_root_lp". Pre-filled from sug_weak_root_lp. Cells highlighted yellow disagree with the heuristic rule.</x:t>
        </x:r>
      </x:text>
    </x:comment>
    <x:comment ref="AG2" authorId="0">
      <x:text>
        <x:r>
          <x:t>Edit this cell to set the final gold label for "excessive_branching". Pre-filled from sug_excessive_branching. Cells highlighted yellow disagree with the heuristic rule.</x:t>
        </x:r>
      </x:text>
    </x:comment>
    <x:comment ref="AH2" authorId="0">
      <x:text>
        <x:r>
          <x:t>Edit this cell to set the final gold label for "ineffective_cuts". Pre-filled from sug_ineffective_cuts. Cells highlighted yellow disagree with the heuristic rule.</x:t>
        </x:r>
      </x:text>
    </x:comment>
    <x:comment ref="AI2" authorId="0">
      <x:text>
        <x:r>
          <x:t>Edit this cell to set the final gold label for "degeneracy". Pre-filled from sug_degeneracy. Cells highlighted yellow disagree with the heuristic rule.</x:t>
        </x:r>
      </x:text>
    </x:comment>
    <x:comment ref="AJ2" authorId="0">
      <x:text>
        <x:r>
          <x:t>Edit this cell to set the final gold label for "presolve_weakness". Pre-filled from sug_presolve_weakness. Cells highlighted yellow disagree with the heuristic rule.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<x:sst xmlns:x="http://schemas.openxmlformats.org/spreadsheetml/2006/main">
  <x:si>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Optimization Log Copilot - Gold Label Worksheet</x:t>
  </x:si>
  <x:si>
    <x:t xml:space="preserve">Purpose</x:t>
  </x:si>
  <x:si>
    <x:t xml:space="preserve">This sheet contains 30 stratified solver runs from the Rose dataset, pre-labeled</x:t>
  </x:si>
  <x:si>
    <x:t xml:space="preserve">with suggested bottleneck classifications. Your job is to review the suggestions in</x:t>
  </x:si>
  <x:si>
    <x:t xml:space="preserve">the "Labels" sheet and either accept them or override them in the gold_&lt;label&gt; columns.</x:t>
  </x:si>
  <x:si>
    <x:t xml:space="preserve">How to use</x:t>
  </x:si>
  <x:si>
    <x:t xml:space="preserve">1. Open the "Labels" sheet.</x:t>
  </x:si>
  <x:si>
    <x:t xml:space="preserve">2. For each row, read the metric evidence (left columns) and the suggested label (sug_*).</x:t>
  </x:si>
  <x:si>
    <x:t xml:space="preserve">3. The gold_&lt;label&gt; columns are pre-filled with the suggestions. Edit them to 0 or 1</x:t>
  </x:si>
  <x:si>
    <x:t xml:space="preserve">   if you disagree. Cells have data validation; only 0 or 1 is accepted.</x:t>
  </x:si>
  <x:si>
    <x:t xml:space="preserve">4. Add a note in the "your_notes" column if you flipped a label or want to record reasoning.</x:t>
  </x:si>
  <x:si>
    <x:t xml:space="preserve">5. The "agreement" column at the right shows H/M/N (heuristic / my-suggestion / neither)</x:t>
  </x:si>
  <x:si>
    <x:t xml:space="preserve">   for each label so you can see at a glance which labels are settled.</x:t>
  </x:si>
  <x:si>
    <x:t xml:space="preserve">6. Save the file as gold_labels_filled.xlsx (or any name) and the notebook will load it.</x:t>
  </x:si>
  <x:si>
    <x:t xml:space="preserve">Label definitions</x:t>
  </x:si>
  <x:si>
    <x:t xml:space="preserve">weak_root_lp        : final relative gap &gt;= 5% OR no solution found (and not solved in presolve)</x:t>
  </x:si>
  <x:si>
    <x:t xml:space="preserve">excessive_branching : nodes per variable &gt;= 100 AND &gt;= 1000 nodes total</x:t>
  </x:si>
  <x:si>
    <x:t xml:space="preserve">ineffective_cuts    : &gt;= 100 cuts generated AND dual bound moved &lt; 1% AND not solved in presolve</x:t>
  </x:si>
  <x:si>
    <x:t xml:space="preserve">degeneracy          : LP iterations per variable &gt;= 1.0 AND &gt;= 10 variables</x:t>
  </x:si>
  <x:si>
    <x:t xml:space="preserve">presolve_weakness   : &lt; 1% reduction in vars AND constraints AND not solved in presolve</x:t>
  </x:si>
  <x:si>
    <x:t xml:space="preserve">Confidence flag (sug_confidence column)</x:t>
  </x:si>
  <x:si>
    <x:t xml:space="preserve">high : evidence strongly supports the suggestion; usually safe to accept.</x:t>
  </x:si>
  <x:si>
    <x:t xml:space="preserve">med  : suggestion is reasonable but the metrics are near a threshold.</x:t>
  </x:si>
  <x:si>
    <x:t xml:space="preserve">low  : borderline case; please give it a careful look.</x:t>
  </x:si>
  <x:si>
    <x:t xml:space="preserve">Source data</x:t>
  </x:si>
  <x:si>
    <x:t xml:space="preserve">Built from rose_logs_parsed_v2_slim.csv (188 runs).</x:t>
  </x:si>
  <x:si>
    <x:t xml:space="preserve">30-run sample is stratified to give 7-11 positives per label after suggested overrides.</x:t>
  </x:si>
  <x:si>
    <x:t xml:space="preserve">IDENTITY</x:t>
  </x:si>
  <x:si>
    <x:t xml:space="preserve">METRIC EVIDENCE (read-only)</x:t>
  </x:si>
  <x:si>
    <x:t xml:space="preserve">HEURISTIC LABELS</x:t>
  </x:si>
  <x:si>
    <x:t xml:space="preserve">PRE-LABEL SUGGESTIONS</x:t>
  </x:si>
  <x:si>
    <x:t xml:space="preserve">GOLD LABELS - EDIT THESE</x:t>
  </x:si>
  <x:si>
    <x:t xml:space="preserve">NOTES</x:t>
  </x:si>
  <x:si>
    <x:t xml:space="preserve">idx</x:t>
  </x:si>
  <x:si>
    <x:t xml:space="preserve">run_id</x:t>
  </x:si>
  <x:si>
    <x:t xml:space="preserve">config_name</x:t>
  </x:si>
  <x:si>
    <x:t xml:space="preserve">problem_name</x:t>
  </x:si>
  <x:si>
    <x:t xml:space="preserve">num_variables</x:t>
  </x:si>
  <x:si>
    <x:t xml:space="preserve">num_constraints</x:t>
  </x:si>
  <x:si>
    <x:t xml:space="preserve">num_nonzeros</x:t>
  </x:si>
  <x:si>
    <x:t xml:space="preserve">solution_status</x:t>
  </x:si>
  <x:si>
    <x:t xml:space="preserve">termination_reason</x:t>
  </x:si>
  <x:si>
    <x:t xml:space="preserve">total_time_s</x:t>
  </x:si>
  <x:si>
    <x:t xml:space="preserve">num_nodes_total</x:t>
  </x:si>
  <x:si>
    <x:t xml:space="preserve">num_lp_iterations</x:t>
  </x:si>
  <x:si>
    <x:t xml:space="preserve">num_cuts_generated</x:t>
  </x:si>
  <x:si>
    <x:t xml:space="preserve">num_cuts_applied</x:t>
  </x:si>
  <x:si>
    <x:t xml:space="preserve">presolve_var_reduction</x:t>
  </x:si>
  <x:si>
    <x:t xml:space="preserve">presolve_con_reduction</x:t>
  </x:si>
  <x:si>
    <x:t xml:space="preserve">final_rel_gap</x:t>
  </x:si>
  <x:si>
    <x:t xml:space="preserve">first_dual</x:t>
  </x:si>
  <x:si>
    <x:t xml:space="preserve">final_dual</x:t>
  </x:si>
  <x:si>
    <x:t xml:space="preserve">lp_iter_per_var</x:t>
  </x:si>
  <x:si>
    <x:t xml:space="preserve">solved_in_presolve</x:t>
  </x:si>
  <x:si>
    <x:t xml:space="preserve">h_weak_root_lp</x:t>
  </x:si>
  <x:si>
    <x:t xml:space="preserve">h_excessive_branching</x:t>
  </x:si>
  <x:si>
    <x:t xml:space="preserve">h_ineffective_cuts</x:t>
  </x:si>
  <x:si>
    <x:t xml:space="preserve">h_degeneracy</x:t>
  </x:si>
  <x:si>
    <x:t xml:space="preserve">h_presolve_weakness</x:t>
  </x:si>
  <x:si>
    <x:t xml:space="preserve">sug_weak_root_lp</x:t>
  </x:si>
  <x:si>
    <x:t xml:space="preserve">sug_excessive_branching</x:t>
  </x:si>
  <x:si>
    <x:t xml:space="preserve">sug_ineffective_cuts</x:t>
  </x:si>
  <x:si>
    <x:t xml:space="preserve">sug_degeneracy</x:t>
  </x:si>
  <x:si>
    <x:t xml:space="preserve">sug_presolve_weakness</x:t>
  </x:si>
  <x:si>
    <x:t xml:space="preserve">gold_weak_root_lp</x:t>
  </x:si>
  <x:si>
    <x:t xml:space="preserve">gold_excessive_branching</x:t>
  </x:si>
  <x:si>
    <x:t xml:space="preserve">gold_ineffective_cuts</x:t>
  </x:si>
  <x:si>
    <x:t xml:space="preserve">gold_degeneracy</x:t>
  </x:si>
  <x:si>
    <x:t xml:space="preserve">gold_presolve_weakness</x:t>
  </x:si>
  <x:si>
    <x:t xml:space="preserve">sug_confidence</x:t>
  </x:si>
  <x:si>
    <x:t xml:space="preserve">sug_rationale</x:t>
  </x:si>
  <x:si>
    <x:t xml:space="preserve">your_notes</x:t>
  </x:si>
  <x:si>
    <x:t xml:space="preserve">auto_config_basic::50v-10</x:t>
  </x:si>
  <x:si>
    <x:t xml:space="preserve">auto_config_basic</x:t>
  </x:si>
  <x:si>
    <x:t xml:space="preserve">50v-10</x:t>
  </x:si>
  <x:si>
    <x:t xml:space="preserve">feasible</x:t>
  </x:si>
  <x:si>
    <x:t xml:space="preserve">timeout</x:t>
  </x:si>
  <x:si>
    <x:t xml:space="preserve">high</x:t>
  </x:si>
  <x:si>
    <x:t xml:space="preserve">WEAK?: moderate 10.4% gap; borderline; BRANCH: 4,325,446 nodes (2149/var); PRESOLVE: 0% reduction on 2,013-var problem</x:t>
  </x:si>
  <x:si>
    <x:t xml:space="preserve">auto_config_basic::cheese</x:t>
  </x:si>
  <x:si>
    <x:t xml:space="preserve">cheese</x:t>
  </x:si>
  <x:si>
    <x:t xml:space="preserve">optimal</x:t>
  </x:si>
  <x:si>
    <x:t xml:space="preserve">finished</x:t>
  </x:si>
  <x:si>
    <x:t xml:space="preserve">med</x:t>
  </x:si>
  <x:si>
    <x:t xml:space="preserve">HEALTHY: no bottlenecks detected (optimal in 1s)</x:t>
  </x:si>
  <x:si>
    <x:t xml:space="preserve">auto_config_basic::dano3_5</x:t>
  </x:si>
  <x:si>
    <x:t xml:space="preserve">dano3_5</x:t>
  </x:si>
  <x:si>
    <x:t xml:space="preserve">CUTS: 1705 cuts, dual improved 0.1%; DEGEN: 15,807 LP iter (1.1/var)</x:t>
  </x:si>
  <x:si>
    <x:t xml:space="preserve">auto_config_basic::f2gap801600</x:t>
  </x:si>
  <x:si>
    <x:t xml:space="preserve">f2gap801600</x:t>
  </x:si>
  <x:si>
    <x:t xml:space="preserve">BRANCH: 167,467 nodes (105/var); CUTS overruled: 2578 cuts but solver found OPTIMAL (gap=0); cuts may have helped close gap; PRESOLVE: 0% reduction on 1,600-var problem</x:t>
  </x:si>
  <x:si>
    <x:t xml:space="preserve">auto_config_basic::gen-ip002</x:t>
  </x:si>
  <x:si>
    <x:t xml:space="preserve">gen-ip002</x:t>
  </x:si>
  <x:si>
    <x:t xml:space="preserve">BRANCH: 6,845,975 nodes (166975/var); PRESOLVE overruled: tiny problem (41 vars, 24 cons); little for presolve to reduce</x:t>
  </x:si>
  <x:si>
    <x:t xml:space="preserve">auto_config_basic::gen-ip054</x:t>
  </x:si>
  <x:si>
    <x:t xml:space="preserve">gen-ip054</x:t>
  </x:si>
  <x:si>
    <x:t xml:space="preserve">BRANCH: 23,630,340 nodes (787678/var); DEGEN overruled: only 37 LP iter; tiny problem; PRESOLVE overruled: tiny problem (30 vars, 27 cons); little for presolve to reduce</x:t>
  </x:si>
  <x:si>
    <x:t xml:space="preserve">auto_config_basic::gfd-schedulen180f7d50m30k18</x:t>
  </x:si>
  <x:si>
    <x:t xml:space="preserve">gfd-schedulen180f7d50m30k18</x:t>
  </x:si>
  <x:si>
    <x:t xml:space="preserve">no_solution</x:t>
  </x:si>
  <x:si>
    <x:t xml:space="preserve">WEAK: no solution found, not solved in presolve</x:t>
  </x:si>
  <x:si>
    <x:t xml:space="preserve">auto_config_basic::map10</x:t>
  </x:si>
  <x:si>
    <x:t xml:space="preserve">map10</x:t>
  </x:si>
  <x:si>
    <x:t xml:space="preserve">HEALTHY: no bottlenecks detected (optimal in 74s)</x:t>
  </x:si>
  <x:si>
    <x:t xml:space="preserve">auto_config_basic::markshare_4_0</x:t>
  </x:si>
  <x:si>
    <x:t xml:space="preserve">markshare_4_0</x:t>
  </x:si>
  <x:si>
    <x:t xml:space="preserve">BRANCH: 1,680,113 nodes (49415/var); DEGEN: 3,212,105 LP iter (94473.7/var); PRESOLVE overruled: tiny problem (34 vars, 4 cons); little for presolve to reduce</x:t>
  </x:si>
  <x:si>
    <x:t xml:space="preserve">auto_config_basic::neos-5052403-cygnet</x:t>
  </x:si>
  <x:si>
    <x:t xml:space="preserve">neos-5052403-cygnet</x:t>
  </x:si>
  <x:si>
    <x:t xml:space="preserve">CUTS: 9141 cuts, dual improved 0.5%</x:t>
  </x:si>
  <x:si>
    <x:t xml:space="preserve">auto_config_basic::neos-860300</x:t>
  </x:si>
  <x:si>
    <x:t xml:space="preserve">neos-860300</x:t>
  </x:si>
  <x:si>
    <x:t xml:space="preserve">HEALTHY: no bottlenecks detected (optimal in 12s)</x:t>
  </x:si>
  <x:si>
    <x:t xml:space="preserve">auto_config_basic::neos-873061</x:t>
  </x:si>
  <x:si>
    <x:t xml:space="preserve">neos-873061</x:t>
  </x:si>
  <x:si>
    <x:t xml:space="preserve">low</x:t>
  </x:si>
  <x:si>
    <x:t xml:space="preserve">WEAK?: moderate 12.6% gap; borderline</x:t>
  </x:si>
  <x:si>
    <x:t xml:space="preserve">auto_config_basic::ns1644855</x:t>
  </x:si>
  <x:si>
    <x:t xml:space="preserve">ns1644855</x:t>
  </x:si>
  <x:si>
    <x:t xml:space="preserve">CUTS: 8228 cuts generated, dual unchanged; DEGEN: 41,411 LP iter (1.4/var)</x:t>
  </x:si>
  <x:si>
    <x:t xml:space="preserve">auto_config_basic::ns1952667</x:t>
  </x:si>
  <x:si>
    <x:t xml:space="preserve">ns1952667</x:t>
  </x:si>
  <x:si>
    <x:t xml:space="preserve">WEAK: no solution found, not solved in presolve; CUTS: 1200 cuts generated, dual unchanged</x:t>
  </x:si>
  <x:si>
    <x:t xml:space="preserve">auto_config_basic::pg</x:t>
  </x:si>
  <x:si>
    <x:t xml:space="preserve">pg</x:t>
  </x:si>
  <x:si>
    <x:t xml:space="preserve">PRESOLVE: 0% reduction on 2,700-var problem</x:t>
  </x:si>
  <x:si>
    <x:t xml:space="preserve">auto_config_basic::ran14x18-disj-8</x:t>
  </x:si>
  <x:si>
    <x:t xml:space="preserve">ran14x18-disj-8</x:t>
  </x:si>
  <x:si>
    <x:t xml:space="preserve">BRANCH: 15,732,417 nodes (31215/var); PRESOLVE: 0.0% var, 0.0% con reduction</x:t>
  </x:si>
  <x:si>
    <x:t xml:space="preserve">auto_config_basic::rococoC10-001000</x:t>
  </x:si>
  <x:si>
    <x:t xml:space="preserve">rococoC10-001000</x:t>
  </x:si>
  <x:si>
    <x:t xml:space="preserve">BRANCH: 5,444,098 nodes (1747/var)</x:t>
  </x:si>
  <x:si>
    <x:t xml:space="preserve">auto_config_basic::supportcase7</x:t>
  </x:si>
  <x:si>
    <x:t xml:space="preserve">supportcase7</x:t>
  </x:si>
  <x:si>
    <x:t xml:space="preserve">HEALTHY: no bottlenecks detected (optimal in 39s)</x:t>
  </x:si>
  <x:si>
    <x:t xml:space="preserve">auto_config_basic::wachplan</x:t>
  </x:si>
  <x:si>
    <x:t xml:space="preserve">wachplan</x:t>
  </x:si>
  <x:si>
    <x:t xml:space="preserve">WEAK?: moderate 12.5% gap; borderline; BRANCH: 2,491,924 nodes (large absolute count); CUTS: 2985 cuts generated, dual unchanged; DEGEN: 1,166,172,310 LP iter (346971.8/var)</x:t>
  </x:si>
  <x:si>
    <x:t xml:space="preserve">default_config 2::decomp2</x:t>
  </x:si>
  <x:si>
    <x:t xml:space="preserve">default_config 2</x:t>
  </x:si>
  <x:si>
    <x:t xml:space="preserve">decomp2</x:t>
  </x:si>
  <x:si>
    <x:t xml:space="preserve">CUTS overruled: 1469 cuts but solver found OPTIMAL (gap=0); cuts may have helped close gap; HEALTHY: no bottlenecks detected (optimal in 19s)</x:t>
  </x:si>
  <x:si>
    <x:t xml:space="preserve">default_config 2::gen-ip054</x:t>
  </x:si>
  <x:si>
    <x:t xml:space="preserve">BRANCH: 11,989,707 nodes (399657/var); DEGEN overruled: only 38 LP iter; tiny problem; PRESOLVE overruled: tiny problem (30 vars, 27 cons); little for presolve to reduce</x:t>
  </x:si>
  <x:si>
    <x:t xml:space="preserve">default_config 2::mcsched</x:t>
  </x:si>
  <x:si>
    <x:t xml:space="preserve">mcsched</x:t>
  </x:si>
  <x:si>
    <x:t xml:space="preserve">HEALTHY: no bottlenecks detected (optimal in 18s)</x:t>
  </x:si>
  <x:si>
    <x:t xml:space="preserve">default_config 2::n5-3</x:t>
  </x:si>
  <x:si>
    <x:t xml:space="preserve">n5-3</x:t>
  </x:si>
  <x:si>
    <x:t xml:space="preserve">BRANCH: 1,137,477 nodes (large absolute count)</x:t>
  </x:si>
  <x:si>
    <x:t xml:space="preserve">default_config 2::neos-5104907-jarama</x:t>
  </x:si>
  <x:si>
    <x:t xml:space="preserve">neos-5104907-jarama</x:t>
  </x:si>
  <x:si>
    <x:t xml:space="preserve">default_config 2::neos-5192052-neckar</x:t>
  </x:si>
  <x:si>
    <x:t xml:space="preserve">neos-5192052-neckar</x:t>
  </x:si>
  <x:si>
    <x:t xml:space="preserve">default_config 2::ns1952667</x:t>
  </x:si>
  <x:si>
    <x:t xml:space="preserve">WEAK: no solution found, not solved in presolve; BRANCH: 1,383,661 nodes (large absolute count); CUTS: 1200 cuts generated, dual unchanged</x:t>
  </x:si>
  <x:si>
    <x:t xml:space="preserve">default_config 2::piperout-08</x:t>
  </x:si>
  <x:si>
    <x:t xml:space="preserve">piperout-08</x:t>
  </x:si>
  <x:si>
    <x:t xml:space="preserve">CUTS overruled: 5387 cuts but solver found OPTIMAL (gap=0); cuts may have helped close gap; HEALTHY: no bottlenecks detected (optimal in 32s)</x:t>
  </x:si>
  <x:si>
    <x:t xml:space="preserve">default_config 2::roll3000</x:t>
  </x:si>
  <x:si>
    <x:t xml:space="preserve">roll3000</x:t>
  </x:si>
  <x:si>
    <x:t xml:space="preserve">default_config 2::savsched1</x:t>
  </x:si>
  <x:si>
    <x:t xml:space="preserve">savsched1</x:t>
  </x:si>
  <x:si>
    <x:t xml:space="preserve">WEAK?: moderate 8.2% gap; borderline</x:t>
  </x:si>
  <x:si>
    <x:t xml:space="preserve">rose_logs::ramsey_r3_s3_n6</x:t>
  </x:si>
  <x:si>
    <x:t xml:space="preserve">rose_logs</x:t>
  </x:si>
  <x:si>
    <x:t xml:space="preserve">ramsey_r3_s3_n6</x:t>
  </x:si>
  <x:si>
    <x:t xml:space="preserve">WEAK: no solution found, not solved in presolve; DEGEN: 37,741 LP iter (2358.8/var)</x:t>
  </x:si>
  <x:si>
    <x:t xml:space="preserve">Live summary of the gold labels</x:t>
  </x:si>
  <x:si>
    <x:t xml:space="preserve">Per-label positive count</x:t>
  </x:si>
  <x:si>
    <x:t xml:space="preserve">gold (your)</x:t>
  </x:si>
  <x:si>
    <x:t xml:space="preserve">heuristic</x:t>
  </x:si>
  <x:si>
    <x:t xml:space="preserve">disagreements</x:t>
  </x:si>
  <x:si>
    <x:t xml:space="preserve">weak_root_lp</x:t>
  </x:si>
  <x:si>
    <x:t xml:space="preserve">excessive_branching</x:t>
  </x:si>
  <x:si>
    <x:t xml:space="preserve">ineffective_cuts</x:t>
  </x:si>
  <x:si>
    <x:t xml:space="preserve">degeneracy</x:t>
  </x:si>
  <x:si>
    <x:t xml:space="preserve">presolve_weakness</x:t>
  </x:si>
  <x:si>
    <x:t xml:space="preserve">Gold labels per run (cardinality)</x:t>
  </x:si>
  <x:si>
    <x:t xml:space="preserve">runs with 0 labels</x:t>
  </x:si>
  <x:si>
    <x:t xml:space="preserve">runs with 1 label</x:t>
  </x:si>
  <x:si>
    <x:t xml:space="preserve">runs with 2+ labels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</x:si>
</x:sst>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#,##0"/>
    <x:numFmt numFmtId="166" formatCode="0.00"/>
    <x:numFmt numFmtId="167" formatCode="0.00%"/>
    <x:numFmt numFmtId="168" formatCode="0.0000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name val="Calibri"/>
    </x:font>
    <x:font>
      <x:sz val="11"/>
      <x:name val="Calibri"/>
    </x:font>
    <x:font>
      <x:b/>
      <x:sz val="13"/>
      <x:name val="Calibri"/>
    </x:font>
    <x:font>
      <x:b/>
      <x:sz val="11"/>
      <x:name val="Cambria"/>
    </x:font>
    <x:font>
      <x:b/>
      <x:sz val="11"/>
      <x:name val="Calibri"/>
    </x:font>
    <x:font>
      <x:sz val="10"/>
      <x:name val="Arial"/>
    </x:font>
    <x:font>
      <x:b/>
      <x:sz val="14"/>
      <x:name val="Cambria"/>
    </x:font>
  </x:fonts>
  <x:fills count="9">
    <x:fill>
      <x:patternFill patternType="none"/>
    </x:fill>
    <x:fill>
      <x:patternFill patternType="gray125"/>
    </x:fill>
    <x:fill>
      <x:patternFill patternType="solid">
        <x:fgColor rgb="D9D9D9"/>
      </x:patternFill>
    </x:fill>
    <x:fill>
      <x:patternFill patternType="solid">
        <x:fgColor rgb="E1EBF7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C6EFCE"/>
      </x:patternFill>
    </x:fill>
    <x:fill>
      <x:patternFill patternType="solid">
        <x:fgColor rgb="F2F2F2"/>
      </x:patternFill>
    </x:fill>
    <x:fill>
      <x:patternFill patternType="solid">
        <x:fgColor rgb="EAF6EA"/>
      </x:patternFill>
    </x:fill>
  </x:fills>
  <x:borders count="4">
    <x:border diagonalUp="0" diagonalDown="0"/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 diagonalUp="0" diagonalDown="0"/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3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2" borderId="0" xfId="0" applyFont="1" applyBorder="1" applyAlignment="1">
      <x:alignment horizontal="center" vertical="bottom" wrapText="0"/>
    </x:xf>
    <x:xf numFmtId="164" fontId="7" fillId="3" borderId="0" xfId="0" applyFont="1" applyBorder="1" applyAlignment="1">
      <x:alignment horizontal="center" vertical="bottom" wrapText="0"/>
    </x:xf>
    <x:xf numFmtId="164" fontId="7" fillId="4" borderId="0" xfId="0" applyFont="1" applyBorder="1" applyAlignment="1">
      <x:alignment horizontal="center" vertical="bottom" wrapText="0"/>
    </x:xf>
    <x:xf numFmtId="164" fontId="7" fillId="5" borderId="0" xfId="0" applyFont="1" applyBorder="1" applyAlignment="1">
      <x:alignment horizontal="center" vertical="bottom" wrapText="0"/>
    </x:xf>
    <x:xf numFmtId="164" fontId="7" fillId="6" borderId="0" xfId="0" applyFont="1" applyBorder="1" applyAlignment="1">
      <x:alignment horizontal="center" vertical="bottom" wrapText="0"/>
    </x:xf>
    <x:xf numFmtId="164" fontId="7" fillId="7" borderId="0" xfId="0" applyFont="1" applyBorder="1" applyAlignment="1">
      <x:alignment horizontal="center" vertical="bottom" wrapText="0"/>
    </x:xf>
    <x:xf numFmtId="164" fontId="8" fillId="2" borderId="1" xfId="0" applyFont="1" applyBorder="1" applyAlignment="1">
      <x:alignment horizontal="center" vertical="bottom" wrapText="1"/>
    </x:xf>
    <x:xf numFmtId="164" fontId="8" fillId="3" borderId="1" xfId="0" applyFont="1" applyBorder="1" applyAlignment="1">
      <x:alignment horizontal="center" vertical="bottom" wrapText="1"/>
    </x:xf>
    <x:xf numFmtId="164" fontId="8" fillId="4" borderId="1" xfId="0" applyFont="1" applyBorder="1" applyAlignment="1">
      <x:alignment horizontal="center" vertical="bottom" wrapText="1"/>
    </x:xf>
    <x:xf numFmtId="164" fontId="8" fillId="5" borderId="1" xfId="0" applyFont="1" applyBorder="1" applyAlignment="1">
      <x:alignment horizontal="center" vertical="bottom" wrapText="1"/>
    </x:xf>
    <x:xf numFmtId="164" fontId="8" fillId="6" borderId="1" xfId="0" applyFont="1" applyBorder="1" applyAlignment="1">
      <x:alignment horizontal="center" vertical="bottom" wrapText="1"/>
    </x:xf>
    <x:xf numFmtId="164" fontId="8" fillId="7" borderId="1" xfId="0" applyFont="1" applyBorder="1" applyAlignment="1">
      <x:alignment horizontal="center" vertical="bottom" wrapText="1"/>
    </x:xf>
    <x:xf numFmtId="164" fontId="0" fillId="0" borderId="1" xfId="0" applyFont="0" applyBorder="1" applyAlignment="1">
      <x:alignment horizontal="general" vertical="top" wrapText="0"/>
    </x:xf>
    <x:xf numFmtId="165" fontId="0" fillId="0" borderId="1" xfId="0" applyFont="0" applyBorder="1" applyAlignment="1">
      <x:alignment horizontal="general" vertical="top" wrapText="0"/>
    </x:xf>
    <x:xf numFmtId="166" fontId="0" fillId="0" borderId="1" xfId="0" applyFont="0" applyBorder="1" applyAlignment="1">
      <x:alignment horizontal="general" vertical="top" wrapText="0"/>
    </x:xf>
    <x:xf numFmtId="167" fontId="0" fillId="0" borderId="1" xfId="0" applyFont="0" applyBorder="1" applyAlignment="1">
      <x:alignment horizontal="general" vertical="top" wrapText="0"/>
    </x:xf>
    <x:xf numFmtId="168" fontId="0" fillId="0" borderId="1" xfId="0" applyFont="0" applyBorder="1" applyAlignment="1">
      <x:alignment horizontal="general" vertical="top" wrapText="0"/>
    </x:xf>
    <x:xf numFmtId="164" fontId="7" fillId="8" borderId="1" xfId="0" applyFont="1" applyBorder="1" applyAlignment="1">
      <x:alignment horizontal="general" vertical="top" wrapText="0"/>
    </x:xf>
    <x:xf numFmtId="164" fontId="0" fillId="0" borderId="1" xfId="0" applyFont="1" applyBorder="1" applyAlignment="1">
      <x:alignment horizontal="general" vertical="top" wrapText="1"/>
    </x:xf>
    <x:xf numFmtId="164" fontId="10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7" fillId="2" borderId="2" xfId="0" applyNumberFormat="1" applyFont="1" applyFill="1" applyBorder="1" applyAlignment="1">
      <x:alignment horizontal="center" vertical="bottom" wrapText="0"/>
    </x:xf>
    <x:xf numFmtId="164" fontId="7" fillId="3" borderId="2" xfId="0" applyNumberFormat="1" applyFont="1" applyFill="1" applyBorder="1" applyAlignment="1">
      <x:alignment horizontal="center" vertical="bottom" wrapText="0"/>
    </x:xf>
    <x:xf numFmtId="164" fontId="7" fillId="4" borderId="2" xfId="0" applyNumberFormat="1" applyFont="1" applyFill="1" applyBorder="1" applyAlignment="1">
      <x:alignment horizontal="center" vertical="bottom" wrapText="0"/>
    </x:xf>
    <x:xf numFmtId="164" fontId="7" fillId="5" borderId="2" xfId="0" applyNumberFormat="1" applyFont="1" applyFill="1" applyBorder="1" applyAlignment="1">
      <x:alignment horizontal="center" vertical="bottom" wrapText="0"/>
    </x:xf>
    <x:xf numFmtId="164" fontId="7" fillId="6" borderId="2" xfId="0" applyNumberFormat="1" applyFont="1" applyFill="1" applyBorder="1" applyAlignment="1">
      <x:alignment horizontal="center" vertical="bottom" wrapText="0"/>
    </x:xf>
    <x:xf numFmtId="164" fontId="7" fillId="7" borderId="2" xfId="0" applyNumberFormat="1" applyFont="1" applyFill="1" applyBorder="1" applyAlignment="1">
      <x:alignment horizontal="center" vertical="bottom" wrapText="0"/>
    </x:xf>
    <x:xf numFmtId="164" fontId="8" fillId="2" borderId="3" xfId="0" applyNumberFormat="1" applyFont="1" applyFill="1" applyBorder="1" applyAlignment="1">
      <x:alignment horizontal="center" vertical="bottom" wrapText="1"/>
    </x:xf>
    <x:xf numFmtId="164" fontId="8" fillId="3" borderId="3" xfId="0" applyNumberFormat="1" applyFont="1" applyFill="1" applyBorder="1" applyAlignment="1">
      <x:alignment horizontal="center" vertical="bottom" wrapText="1"/>
    </x:xf>
    <x:xf numFmtId="164" fontId="8" fillId="4" borderId="3" xfId="0" applyNumberFormat="1" applyFont="1" applyFill="1" applyBorder="1" applyAlignment="1">
      <x:alignment horizontal="center" vertical="bottom" wrapText="1"/>
    </x:xf>
    <x:xf numFmtId="164" fontId="8" fillId="5" borderId="3" xfId="0" applyNumberFormat="1" applyFont="1" applyFill="1" applyBorder="1" applyAlignment="1">
      <x:alignment horizontal="center" vertical="bottom" wrapText="1"/>
    </x:xf>
    <x:xf numFmtId="164" fontId="8" fillId="6" borderId="3" xfId="0" applyNumberFormat="1" applyFont="1" applyFill="1" applyBorder="1" applyAlignment="1">
      <x:alignment horizontal="center" vertical="bottom" wrapText="1"/>
    </x:xf>
    <x:xf numFmtId="164" fontId="8" fillId="7" borderId="3" xfId="0" applyNumberFormat="1" applyFont="1" applyFill="1" applyBorder="1" applyAlignment="1">
      <x:alignment horizontal="center" vertical="bottom" wrapText="1"/>
    </x:xf>
    <x:xf numFmtId="164" fontId="0" fillId="0" borderId="3" xfId="0" applyNumberFormat="1" applyFont="1" applyFill="1" applyBorder="1" applyAlignment="1">
      <x:alignment horizontal="general" vertical="top" wrapText="0"/>
    </x:xf>
    <x:xf numFmtId="165" fontId="0" fillId="0" borderId="3" xfId="0" applyNumberFormat="1" applyFont="1" applyFill="1" applyBorder="1" applyAlignment="1">
      <x:alignment horizontal="general" vertical="top" wrapText="0"/>
    </x:xf>
    <x:xf numFmtId="166" fontId="0" fillId="0" borderId="3" xfId="0" applyNumberFormat="1" applyFont="1" applyFill="1" applyBorder="1" applyAlignment="1">
      <x:alignment horizontal="general" vertical="top" wrapText="0"/>
    </x:xf>
    <x:xf numFmtId="167" fontId="0" fillId="0" borderId="3" xfId="0" applyNumberFormat="1" applyFont="1" applyFill="1" applyBorder="1" applyAlignment="1">
      <x:alignment horizontal="general" vertical="top" wrapText="0"/>
    </x:xf>
    <x:xf numFmtId="168" fontId="0" fillId="0" borderId="3" xfId="0" applyNumberFormat="1" applyFont="1" applyFill="1" applyBorder="1" applyAlignment="1">
      <x:alignment horizontal="general" vertical="top" wrapText="0"/>
    </x:xf>
    <x:xf numFmtId="164" fontId="7" fillId="8" borderId="3" xfId="0" applyNumberFormat="1" applyFont="1" applyFill="1" applyBorder="1" applyAlignment="1">
      <x:alignment horizontal="general" vertical="top" wrapText="0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10" fillId="0" borderId="2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7" borderId="0" xfId="0" applyNumberFormat="1" applyFont="1" applyFill="1" applyBorder="1" applyAlignment="1">
      <x:alignment horizontal="center" vertical="bottom" wrapText="1"/>
    </x:xf>
    <x:xf numFmtId="164" fontId="8" fillId="7" borderId="1" xfId="0" applyNumberFormat="1" applyFont="1" applyFill="1" applyBorder="1" applyAlignment="1">
      <x:alignment horizontal="center" vertical="bottom" wrapText="1"/>
    </x:xf>
    <x:xf numFmtId="164" fontId="0" fillId="0" borderId="1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">
    <x:dxf>
      <x:fill>
        <x:patternFill>
          <x:bgColor rgb="FFFFE699"/>
        </x:patternFill>
      </x:fill>
    </x:dxf>
  </x:dxfs>
  <x:colors>
    <x:indexedColors>
      <x:rgbColor rgb="FF000000"/>
      <x:rgbColor rgb="FFF2F2F2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EAF6EA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1EBF7"/>
      <x:rgbColor rgb="FFC6EFCE"/>
      <x:rgbColor rgb="FFFFE699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e40fbc80e4a80" /><Relationship Type="http://schemas.openxmlformats.org/officeDocument/2006/relationships/theme" Target="/xl/theme/theme1.xml" Id="R47529ef0e2314142" /><Relationship Type="http://schemas.openxmlformats.org/officeDocument/2006/relationships/sharedStrings" Target="/xl/sharedStrings.xml" Id="Rdcb974c2f60a422d" /><Relationship Type="http://schemas.openxmlformats.org/officeDocument/2006/relationships/worksheet" Target="/xl/worksheets/sheet1.xml" Id="R7f2fc739d2b047c7" /><Relationship Type="http://schemas.openxmlformats.org/officeDocument/2006/relationships/worksheet" Target="/xl/worksheets/sheet2.xml" Id="Ra2760dc7bc604852" /><Relationship Type="http://schemas.openxmlformats.org/officeDocument/2006/relationships/worksheet" Target="/xl/worksheets/sheet3.xml" Id="R57daf9ad4e7c4c5f" /><Relationship Type="http://schemas.microsoft.com/office/2017/10/relationships/person" Target="/xl/persons/person.xml" Id="R7a34d724218749ce" /></Relationships>
</file>

<file path=xl/persons/person.xml><?xml version="1.0" encoding="utf-8"?>
<xltc:personList xmlns:xltc="http://schemas.microsoft.com/office/spreadsheetml/2018/threadedcomments">
  <xltc:person displayName="Pre-label assistant" id="{E18927BF-C667-6098-3F4D-26FB3E64C6A8}"/>
</xltc: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4c2caf80c99480e" /><Relationship Type="http://schemas.openxmlformats.org/officeDocument/2006/relationships/vmlDrawing" Target="/xl/drawings/vmldrawing.vml" Id="Rb8f15b4b77d643e8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10" hidden="0" customWidth="1"/>
  </x:cols>
  <x:sheetData>
    <x:row r="1" ht="19.700000762939453" hidden="0">
      <x:c r="A1" s="1" t="s">
        <x:v>0</x:v>
      </x:c>
    </x:row>
    <x:row r="2" ht="15" hidden="0">
      <x:c r="A2" s="2"/>
    </x:row>
    <x:row r="3" ht="16.149999618530273" hidden="0">
      <x:c r="A3" s="3" t="s">
        <x:v>1</x:v>
      </x:c>
    </x:row>
    <x:row r="4" ht="15" hidden="0">
      <x:c r="A4" s="2" t="s">
        <x:v>2</x:v>
      </x:c>
    </x:row>
    <x:row r="5" ht="15" hidden="0">
      <x:c r="A5" s="2" t="s">
        <x:v>3</x:v>
      </x:c>
    </x:row>
    <x:row r="6" ht="15" hidden="0">
      <x:c r="A6" s="2" t="s">
        <x:v>4</x:v>
      </x:c>
    </x:row>
    <x:row r="7" ht="15" hidden="0">
      <x:c r="A7" s="2"/>
    </x:row>
    <x:row r="8" ht="16.149999618530273" hidden="0">
      <x:c r="A8" s="3" t="s">
        <x:v>5</x:v>
      </x:c>
    </x:row>
    <x:row r="9" ht="15" hidden="0">
      <x:c r="A9" s="2" t="s">
        <x:v>6</x:v>
      </x:c>
    </x:row>
    <x:row r="10" ht="15" hidden="0">
      <x:c r="A10" s="2" t="s">
        <x:v>7</x:v>
      </x:c>
    </x:row>
    <x:row r="11" ht="15" hidden="0">
      <x:c r="A11" s="2" t="s">
        <x:v>8</x:v>
      </x:c>
    </x:row>
    <x:row r="12" ht="15" hidden="0">
      <x:c r="A12" s="2" t="s">
        <x:v>9</x:v>
      </x:c>
    </x:row>
    <x:row r="13" ht="15" hidden="0">
      <x:c r="A13" s="2" t="s">
        <x:v>10</x:v>
      </x:c>
    </x:row>
    <x:row r="14" ht="15" hidden="0">
      <x:c r="A14" s="2" t="s">
        <x:v>11</x:v>
      </x:c>
    </x:row>
    <x:row r="15" ht="15" hidden="0">
      <x:c r="A15" s="2" t="s">
        <x:v>12</x:v>
      </x:c>
    </x:row>
    <x:row r="16" ht="15" hidden="0">
      <x:c r="A16" s="2" t="s">
        <x:v>13</x:v>
      </x:c>
    </x:row>
    <x:row r="17" ht="15" hidden="0">
      <x:c r="A17" s="2"/>
    </x:row>
    <x:row r="18" ht="16.149999618530273" hidden="0">
      <x:c r="A18" s="3" t="s">
        <x:v>14</x:v>
      </x:c>
    </x:row>
    <x:row r="19" ht="15" hidden="0">
      <x:c r="A19" s="2" t="s">
        <x:v>15</x:v>
      </x:c>
    </x:row>
    <x:row r="20" ht="15" hidden="0">
      <x:c r="A20" s="2" t="s">
        <x:v>16</x:v>
      </x:c>
    </x:row>
    <x:row r="21" ht="15" hidden="0">
      <x:c r="A21" s="2" t="s">
        <x:v>17</x:v>
      </x:c>
    </x:row>
    <x:row r="22" ht="15" hidden="0">
      <x:c r="A22" s="2" t="s">
        <x:v>18</x:v>
      </x:c>
    </x:row>
    <x:row r="23" ht="15" hidden="0">
      <x:c r="A23" s="2" t="s">
        <x:v>19</x:v>
      </x:c>
    </x:row>
    <x:row r="24" ht="15" hidden="0">
      <x:c r="A24" s="2"/>
    </x:row>
    <x:row r="25" ht="16.149999618530273" hidden="0">
      <x:c r="A25" s="3" t="s">
        <x:v>20</x:v>
      </x:c>
    </x:row>
    <x:row r="26" ht="15" hidden="0">
      <x:c r="A26" s="2" t="s">
        <x:v>21</x:v>
      </x:c>
    </x:row>
    <x:row r="27" ht="15" hidden="0">
      <x:c r="A27" s="2" t="s">
        <x:v>22</x:v>
      </x:c>
    </x:row>
    <x:row r="28" ht="15" hidden="0">
      <x:c r="A28" s="2" t="s">
        <x:v>23</x:v>
      </x:c>
    </x:row>
    <x:row r="29" ht="15" hidden="0">
      <x:c r="A29" s="2"/>
    </x:row>
    <x:row r="30" ht="16.149999618530273" hidden="0">
      <x:c r="A30" s="3" t="s">
        <x:v>24</x:v>
      </x:c>
    </x:row>
    <x:row r="31" ht="15" hidden="0">
      <x:c r="A31" s="2" t="s">
        <x:v>25</x:v>
      </x:c>
    </x:row>
    <x:row r="32" ht="15" hidden="0">
      <x:c r="A32" s="2" t="s">
        <x:v>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6" hidden="0" customWidth="1"/>
    <x:col min="2" max="2" width="36" hidden="0" customWidth="1"/>
    <x:col min="3" max="3" width="16" hidden="0" customWidth="1"/>
    <x:col min="4" max="4" width="22" hidden="0" customWidth="1"/>
    <x:col min="5" max="8" width="12" hidden="0" customWidth="1"/>
    <x:col min="9" max="9" width="14" hidden="0" customWidth="1"/>
    <x:col min="10" max="10" width="11" hidden="0" customWidth="1"/>
    <x:col min="11" max="12" width="14" hidden="0" customWidth="1"/>
    <x:col min="13" max="16" width="12" hidden="0" customWidth="1"/>
    <x:col min="17" max="17" width="11" hidden="0" customWidth="1"/>
    <x:col min="18" max="19" width="12" hidden="0" customWidth="1"/>
    <x:col min="20" max="20" width="11" hidden="0" customWidth="1"/>
    <x:col min="21" max="21" width="8" hidden="0" customWidth="1"/>
    <x:col min="22" max="36" width="11" hidden="0" customWidth="1"/>
    <x:col min="37" max="37" width="8" hidden="0" customWidth="1"/>
    <x:col min="38" max="38" width="60" hidden="0" customWidth="1"/>
    <x:col min="39" max="39" width="55" hidden="0" customWidth="1"/>
  </x:cols>
  <x:sheetData>
    <x:row r="1" ht="15" hidden="0">
      <x:c r="A1" s="4" t="s">
        <x:v>27</x:v>
      </x:c>
      <x:c r="B1" s="4"/>
      <x:c r="C1" s="4"/>
      <x:c r="D1" s="4"/>
      <x:c r="E1" s="5" t="s">
        <x:v>28</x:v>
      </x:c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6" t="s">
        <x:v>29</x:v>
      </x:c>
      <x:c r="W1" s="6"/>
      <x:c r="X1" s="6"/>
      <x:c r="Y1" s="6"/>
      <x:c r="Z1" s="6"/>
      <x:c r="AA1" s="7" t="s">
        <x:v>30</x:v>
      </x:c>
      <x:c r="AB1" s="7"/>
      <x:c r="AC1" s="7"/>
      <x:c r="AD1" s="7"/>
      <x:c r="AE1" s="7"/>
      <x:c r="AF1" s="8" t="s">
        <x:v>31</x:v>
      </x:c>
      <x:c r="AG1" s="8"/>
      <x:c r="AH1" s="8"/>
      <x:c r="AI1" s="8"/>
      <x:c r="AJ1" s="8"/>
      <x:c r="AK1" s="9" t="s">
        <x:v>32</x:v>
      </x:c>
      <x:c r="AL1" s="9"/>
      <x:c r="AM1" s="50"/>
    </x:row>
    <x:row r="2" ht="35.04999923706055" hidden="0">
      <x:c r="A2" s="10" t="s">
        <x:v>33</x:v>
      </x:c>
      <x:c r="B2" s="10" t="s">
        <x:v>34</x:v>
      </x:c>
      <x:c r="C2" s="10" t="s">
        <x:v>35</x:v>
      </x:c>
      <x:c r="D2" s="10" t="s">
        <x:v>36</x:v>
      </x:c>
      <x:c r="E2" s="11" t="s">
        <x:v>37</x:v>
      </x:c>
      <x:c r="F2" s="11" t="s">
        <x:v>38</x:v>
      </x:c>
      <x:c r="G2" s="11" t="s">
        <x:v>39</x:v>
      </x:c>
      <x:c r="H2" s="11" t="s">
        <x:v>40</x:v>
      </x:c>
      <x:c r="I2" s="11" t="s">
        <x:v>41</x:v>
      </x:c>
      <x:c r="J2" s="11" t="s">
        <x:v>42</x:v>
      </x:c>
      <x:c r="K2" s="11" t="s">
        <x:v>43</x:v>
      </x:c>
      <x:c r="L2" s="11" t="s">
        <x:v>44</x:v>
      </x:c>
      <x:c r="M2" s="11" t="s">
        <x:v>45</x:v>
      </x:c>
      <x:c r="N2" s="11" t="s">
        <x:v>46</x:v>
      </x:c>
      <x:c r="O2" s="11" t="s">
        <x:v>47</x:v>
      </x:c>
      <x:c r="P2" s="11" t="s">
        <x:v>48</x:v>
      </x:c>
      <x:c r="Q2" s="11" t="s">
        <x:v>49</x:v>
      </x:c>
      <x:c r="R2" s="11" t="s">
        <x:v>50</x:v>
      </x:c>
      <x:c r="S2" s="11" t="s">
        <x:v>51</x:v>
      </x:c>
      <x:c r="T2" s="11" t="s">
        <x:v>52</x:v>
      </x:c>
      <x:c r="U2" s="11" t="s">
        <x:v>53</x:v>
      </x:c>
      <x:c r="V2" s="12" t="s">
        <x:v>54</x:v>
      </x:c>
      <x:c r="W2" s="12" t="s">
        <x:v>55</x:v>
      </x:c>
      <x:c r="X2" s="12" t="s">
        <x:v>56</x:v>
      </x:c>
      <x:c r="Y2" s="12" t="s">
        <x:v>57</x:v>
      </x:c>
      <x:c r="Z2" s="12" t="s">
        <x:v>58</x:v>
      </x:c>
      <x:c r="AA2" s="13" t="s">
        <x:v>59</x:v>
      </x:c>
      <x:c r="AB2" s="13" t="s">
        <x:v>60</x:v>
      </x:c>
      <x:c r="AC2" s="13" t="s">
        <x:v>61</x:v>
      </x:c>
      <x:c r="AD2" s="13" t="s">
        <x:v>62</x:v>
      </x:c>
      <x:c r="AE2" s="13" t="s">
        <x:v>63</x:v>
      </x:c>
      <x:c r="AF2" s="14" t="s">
        <x:v>64</x:v>
      </x:c>
      <x:c r="AG2" s="14" t="s">
        <x:v>65</x:v>
      </x:c>
      <x:c r="AH2" s="14" t="s">
        <x:v>66</x:v>
      </x:c>
      <x:c r="AI2" s="14" t="s">
        <x:v>67</x:v>
      </x:c>
      <x:c r="AJ2" s="14" t="s">
        <x:v>68</x:v>
      </x:c>
      <x:c r="AK2" s="15" t="s">
        <x:v>69</x:v>
      </x:c>
      <x:c r="AL2" s="15" t="s">
        <x:v>70</x:v>
      </x:c>
      <x:c r="AM2" s="51" t="s">
        <x:v>71</x:v>
      </x:c>
    </x:row>
    <x:row r="3" ht="60" hidden="0" customHeight="1">
      <x:c r="A3" s="16" t="n">
        <x:v>1</x:v>
      </x:c>
      <x:c r="B3" s="16" t="s">
        <x:v>72</x:v>
      </x:c>
      <x:c r="C3" s="16" t="s">
        <x:v>73</x:v>
      </x:c>
      <x:c r="D3" s="16" t="s">
        <x:v>74</x:v>
      </x:c>
      <x:c r="E3" s="17" t="n">
        <x:v>2013</x:v>
      </x:c>
      <x:c r="F3" s="17" t="n">
        <x:v>233</x:v>
      </x:c>
      <x:c r="G3" s="17" t="n">
        <x:v>2745</x:v>
      </x:c>
      <x:c r="H3" s="16" t="s">
        <x:v>75</x:v>
      </x:c>
      <x:c r="I3" s="16" t="s">
        <x:v>76</x:v>
      </x:c>
      <x:c r="J3" s="18" t="n">
        <x:v>3600.016866966</x:v>
      </x:c>
      <x:c r="K3" s="17" t="n">
        <x:v>4325446</x:v>
      </x:c>
      <x:c r="L3" s="17" t="n">
        <x:v>85</x:v>
      </x:c>
      <x:c r="M3" s="17" t="n">
        <x:v>1980</x:v>
      </x:c>
      <x:c r="N3" s="17" t="n">
        <x:v>0</x:v>
      </x:c>
      <x:c r="O3" s="19" t="n">
        <x:v>0</x:v>
      </x:c>
      <x:c r="P3" s="19" t="n">
        <x:v>0</x:v>
      </x:c>
      <x:c r="Q3" s="19" t="n">
        <x:v>0.103596497707819</x:v>
      </x:c>
      <x:c r="R3" s="20" t="n">
        <x:v>3123.1507785692</x:v>
      </x:c>
      <x:c r="S3" s="20" t="n">
        <x:v>3158.30741291045</x:v>
      </x:c>
      <x:c r="T3" s="20" t="n">
        <x:v>0.0422255340288127</x:v>
      </x:c>
      <x:c r="U3" s="16" t="n">
        <x:v>0</x:v>
      </x:c>
      <x:c r="V3" s="16" t="n">
        <x:v>1</x:v>
      </x:c>
      <x:c r="W3" s="16" t="n">
        <x:v>1</x:v>
      </x:c>
      <x:c r="X3" s="16" t="n">
        <x:v>0</x:v>
      </x:c>
      <x:c r="Y3" s="16" t="n">
        <x:v>0</x:v>
      </x:c>
      <x:c r="Z3" s="16" t="n">
        <x:v>1</x:v>
      </x:c>
      <x:c r="AA3" s="16" t="n">
        <x:v>1</x:v>
      </x:c>
      <x:c r="AB3" s="16" t="n">
        <x:v>1</x:v>
      </x:c>
      <x:c r="AC3" s="16" t="n">
        <x:v>0</x:v>
      </x:c>
      <x:c r="AD3" s="16" t="n">
        <x:v>0</x:v>
      </x:c>
      <x:c r="AE3" s="16" t="n">
        <x:v>1</x:v>
      </x:c>
      <x:c r="AF3" s="21" t="n">
        <x:v>1</x:v>
      </x:c>
      <x:c r="AG3" s="21" t="n">
        <x:v>1</x:v>
      </x:c>
      <x:c r="AH3" s="21" t="n">
        <x:v>0</x:v>
      </x:c>
      <x:c r="AI3" s="21" t="n">
        <x:v>0</x:v>
      </x:c>
      <x:c r="AJ3" s="21" t="n">
        <x:v>1</x:v>
      </x:c>
      <x:c r="AK3" s="16" t="s">
        <x:v>77</x:v>
      </x:c>
      <x:c r="AL3" s="22" t="s">
        <x:v>78</x:v>
      </x:c>
      <x:c r="AM3" s="52"/>
    </x:row>
    <x:row r="4" ht="60" hidden="0" customHeight="1">
      <x:c r="A4" s="16" t="n">
        <x:v>7</x:v>
      </x:c>
      <x:c r="B4" s="16" t="s">
        <x:v>79</x:v>
      </x:c>
      <x:c r="C4" s="16" t="s">
        <x:v>73</x:v>
      </x:c>
      <x:c r="D4" s="16" t="s">
        <x:v>80</x:v>
      </x:c>
      <x:c r="E4" s="17" t="n">
        <x:v>165</x:v>
      </x:c>
      <x:c r="F4" s="17" t="n">
        <x:v>130</x:v>
      </x:c>
      <x:c r="G4" s="17" t="n">
        <x:v>2861</x:v>
      </x:c>
      <x:c r="H4" s="16" t="s">
        <x:v>81</x:v>
      </x:c>
      <x:c r="I4" s="16" t="s">
        <x:v>82</x:v>
      </x:c>
      <x:c r="J4" s="18" t="n">
        <x:v>1.348971924</x:v>
      </x:c>
      <x:c r="K4" s="17" t="n">
        <x:v>2593</x:v>
      </x:c>
      <x:c r="L4" s="17" t="n">
        <x:v>38</x:v>
      </x:c>
      <x:c r="M4" s="17" t="n">
        <x:v>56</x:v>
      </x:c>
      <x:c r="N4" s="17" t="n">
        <x:v>0</x:v>
      </x:c>
      <x:c r="O4" s="19" t="n">
        <x:v>0.242424242424242</x:v>
      </x:c>
      <x:c r="P4" s="19" t="n">
        <x:v>0.453846153846154</x:v>
      </x:c>
      <x:c r="Q4" s="19" t="n">
        <x:v>0</x:v>
      </x:c>
      <x:c r="R4" s="20" t="n">
        <x:v>429136.166944885</x:v>
      </x:c>
      <x:c r="S4" s="20" t="n">
        <x:v>458533</x:v>
      </x:c>
      <x:c r="T4" s="20" t="n">
        <x:v>0.23030303030303</x:v>
      </x:c>
      <x:c r="U4" s="16" t="n">
        <x:v>0</x:v>
      </x:c>
      <x:c r="V4" s="16" t="n">
        <x:v>0</x:v>
      </x:c>
      <x:c r="W4" s="16" t="n">
        <x:v>0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  <x:c r="AD4" s="16" t="n">
        <x:v>0</x:v>
      </x:c>
      <x:c r="AE4" s="16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16" t="s">
        <x:v>83</x:v>
      </x:c>
      <x:c r="AL4" s="22" t="s">
        <x:v>84</x:v>
      </x:c>
      <x:c r="AM4" s="52"/>
    </x:row>
    <x:row r="5" ht="60" hidden="0" customHeight="1">
      <x:c r="A5" s="16" t="n">
        <x:v>9</x:v>
      </x:c>
      <x:c r="B5" s="16" t="s">
        <x:v>85</x:v>
      </x:c>
      <x:c r="C5" s="16" t="s">
        <x:v>73</x:v>
      </x:c>
      <x:c r="D5" s="16" t="s">
        <x:v>86</x:v>
      </x:c>
      <x:c r="E5" s="17" t="n">
        <x:v>13873</x:v>
      </x:c>
      <x:c r="F5" s="17" t="n">
        <x:v>3202</x:v>
      </x:c>
      <x:c r="G5" s="17" t="n">
        <x:v>79655</x:v>
      </x:c>
      <x:c r="H5" s="16" t="s">
        <x:v>81</x:v>
      </x:c>
      <x:c r="I5" s="16" t="s">
        <x:v>82</x:v>
      </x:c>
      <x:c r="J5" s="18" t="n">
        <x:v>56.945466473</x:v>
      </x:c>
      <x:c r="K5" s="17" t="n">
        <x:v>717</x:v>
      </x:c>
      <x:c r="L5" s="17" t="n">
        <x:v>15807</x:v>
      </x:c>
      <x:c r="M5" s="17" t="n">
        <x:v>1705</x:v>
      </x:c>
      <x:c r="N5" s="17" t="n">
        <x:v>0</x:v>
      </x:c>
      <x:c r="O5" s="19" t="n">
        <x:v>0.0025949686441288</x:v>
      </x:c>
      <x:c r="P5" s="19" t="n">
        <x:v>0.0159275452841973</x:v>
      </x:c>
      <x:c r="Q5" s="19" t="n">
        <x:v>4.59288700392932E-005</x:v>
      </x:c>
      <x:c r="R5" s="20" t="n">
        <x:v>576.241638906609</x:v>
      </x:c>
      <x:c r="S5" s="20" t="n">
        <x:v>576.898418447071</x:v>
      </x:c>
      <x:c r="T5" s="20" t="n">
        <x:v>1.13940748215959</x:v>
      </x:c>
      <x:c r="U5" s="16" t="n">
        <x:v>0</x:v>
      </x:c>
      <x:c r="V5" s="16" t="n">
        <x:v>0</x:v>
      </x:c>
      <x:c r="W5" s="16" t="n">
        <x:v>0</x:v>
      </x:c>
      <x:c r="X5" s="16" t="n">
        <x:v>1</x:v>
      </x:c>
      <x:c r="Y5" s="16" t="n">
        <x:v>1</x:v>
      </x:c>
      <x:c r="Z5" s="16" t="n">
        <x:v>0</x:v>
      </x:c>
      <x:c r="AA5" s="16" t="n">
        <x:v>0</x:v>
      </x:c>
      <x:c r="AB5" s="16" t="n">
        <x:v>0</x:v>
      </x:c>
      <x:c r="AC5" s="16" t="n">
        <x:v>1</x:v>
      </x:c>
      <x:c r="AD5" s="16" t="n">
        <x:v>1</x:v>
      </x:c>
      <x:c r="AE5" s="16" t="n">
        <x:v>0</x:v>
      </x:c>
      <x:c r="AF5" s="21" t="n">
        <x:v>0</x:v>
      </x:c>
      <x:c r="AG5" s="21" t="n">
        <x:v>0</x:v>
      </x:c>
      <x:c r="AH5" s="21" t="n">
        <x:v>1</x:v>
      </x:c>
      <x:c r="AI5" s="21" t="n">
        <x:v>1</x:v>
      </x:c>
      <x:c r="AJ5" s="21" t="n">
        <x:v>0</x:v>
      </x:c>
      <x:c r="AK5" s="16" t="s">
        <x:v>83</x:v>
      </x:c>
      <x:c r="AL5" s="22" t="s">
        <x:v>87</x:v>
      </x:c>
      <x:c r="AM5" s="52"/>
    </x:row>
    <x:row r="6" ht="60" hidden="0" customHeight="1">
      <x:c r="A6" s="16" t="n">
        <x:v>15</x:v>
      </x:c>
      <x:c r="B6" s="16" t="s">
        <x:v>88</x:v>
      </x:c>
      <x:c r="C6" s="16" t="s">
        <x:v>73</x:v>
      </x:c>
      <x:c r="D6" s="16" t="s">
        <x:v>89</x:v>
      </x:c>
      <x:c r="E6" s="17" t="n">
        <x:v>1600</x:v>
      </x:c>
      <x:c r="F6" s="17" t="n">
        <x:v>80</x:v>
      </x:c>
      <x:c r="G6" s="17" t="n">
        <x:v>3200</x:v>
      </x:c>
      <x:c r="H6" s="16" t="s">
        <x:v>81</x:v>
      </x:c>
      <x:c r="I6" s="16" t="s">
        <x:v>82</x:v>
      </x:c>
      <x:c r="J6" s="18" t="n">
        <x:v>12.191670088</x:v>
      </x:c>
      <x:c r="K6" s="17" t="n">
        <x:v>167467</x:v>
      </x:c>
      <x:c r="L6" s="17" t="n">
        <x:v>80</x:v>
      </x:c>
      <x:c r="M6" s="17" t="n">
        <x:v>2578</x:v>
      </x:c>
      <x:c r="N6" s="17" t="n">
        <x:v>0</x:v>
      </x:c>
      <x:c r="O6" s="19" t="n">
        <x:v>0</x:v>
      </x:c>
      <x:c r="P6" s="19" t="n">
        <x:v>0</x:v>
      </x:c>
      <x:c r="Q6" s="19" t="n">
        <x:v>0</x:v>
      </x:c>
      <x:c r="R6" s="20" t="n">
        <x:v>86582.1694060606</x:v>
      </x:c>
      <x:c r="S6" s="20" t="n">
        <x:v>86679</x:v>
      </x:c>
      <x:c r="T6" s="20" t="n">
        <x:v>0.05</x:v>
      </x:c>
      <x:c r="U6" s="16" t="n">
        <x:v>0</x:v>
      </x:c>
      <x:c r="V6" s="16" t="n">
        <x:v>0</x:v>
      </x:c>
      <x:c r="W6" s="16" t="n">
        <x:v>1</x:v>
      </x:c>
      <x:c r="X6" s="16" t="n">
        <x:v>1</x:v>
      </x:c>
      <x:c r="Y6" s="16" t="n">
        <x:v>0</x:v>
      </x:c>
      <x:c r="Z6" s="16" t="n">
        <x:v>1</x:v>
      </x:c>
      <x:c r="AA6" s="16" t="n">
        <x:v>0</x:v>
      </x:c>
      <x:c r="AB6" s="16" t="n">
        <x:v>1</x:v>
      </x:c>
      <x:c r="AC6" s="16" t="n">
        <x:v>0</x:v>
      </x:c>
      <x:c r="AD6" s="16" t="n">
        <x:v>0</x:v>
      </x:c>
      <x:c r="AE6" s="16" t="n">
        <x:v>1</x:v>
      </x:c>
      <x:c r="AF6" s="21" t="n">
        <x:v>0</x:v>
      </x:c>
      <x:c r="AG6" s="21" t="n">
        <x:v>1</x:v>
      </x:c>
      <x:c r="AH6" s="21" t="n">
        <x:v>1</x:v>
      </x:c>
      <x:c r="AI6" s="21" t="n">
        <x:v>0</x:v>
      </x:c>
      <x:c r="AJ6" s="21" t="n">
        <x:v>1</x:v>
      </x:c>
      <x:c r="AK6" s="16" t="s">
        <x:v>77</x:v>
      </x:c>
      <x:c r="AL6" s="22" t="s">
        <x:v>90</x:v>
      </x:c>
      <x:c r="AM6" s="52" t="str">
        <x:v>Changed gold_ineffective_cuts 0→1: 2,578 cuts generated and the dual bound moved only about 0.1% (86,582→86,679), with no presolve solve; this meets the worksheet definition even though the run finished quickly.</x:v>
      </x:c>
    </x:row>
    <x:row r="7" ht="60" hidden="0" customHeight="1">
      <x:c r="A7" s="16" t="n">
        <x:v>17</x:v>
      </x:c>
      <x:c r="B7" s="16" t="s">
        <x:v>91</x:v>
      </x:c>
      <x:c r="C7" s="16" t="s">
        <x:v>73</x:v>
      </x:c>
      <x:c r="D7" s="16" t="s">
        <x:v>92</x:v>
      </x:c>
      <x:c r="E7" s="17" t="n">
        <x:v>41</x:v>
      </x:c>
      <x:c r="F7" s="17" t="n">
        <x:v>24</x:v>
      </x:c>
      <x:c r="G7" s="17" t="n">
        <x:v>922</x:v>
      </x:c>
      <x:c r="H7" s="16" t="s">
        <x:v>81</x:v>
      </x:c>
      <x:c r="I7" s="16" t="s">
        <x:v>82</x:v>
      </x:c>
      <x:c r="J7" s="18" t="n">
        <x:v>96.637022701</x:v>
      </x:c>
      <x:c r="K7" s="17" t="n">
        <x:v>6845975</x:v>
      </x:c>
      <x:c r="L7" s="17" t="n">
        <x:v>39</x:v>
      </x:c>
      <x:c r="M7" s="17" t="n">
        <x:v>18</x:v>
      </x:c>
      <x:c r="N7" s="17" t="n">
        <x:v>0</x:v>
      </x:c>
      <x:c r="O7" s="19" t="n">
        <x:v>0</x:v>
      </x:c>
      <x:c r="P7" s="19" t="n">
        <x:v>0</x:v>
      </x:c>
      <x:c r="Q7" s="19" t="n">
        <x:v>9.47140431439754E-005</x:v>
      </x:c>
      <x:c r="R7" s="20" t="n">
        <x:v>-4840.54196130089</x:v>
      </x:c>
      <x:c r="S7" s="20" t="n">
        <x:v>-4784.18647833084</x:v>
      </x:c>
      <x:c r="T7" s="20" t="n">
        <x:v>0.951219512195122</x:v>
      </x:c>
      <x:c r="U7" s="16" t="n">
        <x:v>0</x:v>
      </x:c>
      <x:c r="V7" s="16" t="n">
        <x:v>0</x:v>
      </x:c>
      <x:c r="W7" s="16" t="n">
        <x:v>1</x:v>
      </x:c>
      <x:c r="X7" s="16" t="n">
        <x:v>0</x:v>
      </x:c>
      <x:c r="Y7" s="16" t="n">
        <x:v>0</x:v>
      </x:c>
      <x:c r="Z7" s="16" t="n">
        <x:v>1</x:v>
      </x:c>
      <x:c r="AA7" s="16" t="n">
        <x:v>0</x:v>
      </x:c>
      <x:c r="AB7" s="16" t="n">
        <x:v>1</x:v>
      </x:c>
      <x:c r="AC7" s="16" t="n">
        <x:v>0</x:v>
      </x:c>
      <x:c r="AD7" s="16" t="n">
        <x:v>0</x:v>
      </x:c>
      <x:c r="AE7" s="16" t="n">
        <x:v>0</x:v>
      </x:c>
      <x:c r="AF7" s="21" t="n">
        <x:v>0</x:v>
      </x:c>
      <x:c r="AG7" s="21" t="n">
        <x:v>1</x:v>
      </x:c>
      <x:c r="AH7" s="21" t="n">
        <x:v>0</x:v>
      </x:c>
      <x:c r="AI7" s="21" t="n">
        <x:v>0</x:v>
      </x:c>
      <x:c r="AJ7" s="21" t="n">
        <x:v>0</x:v>
      </x:c>
      <x:c r="AK7" s="16" t="s">
        <x:v>83</x:v>
      </x:c>
      <x:c r="AL7" s="22" t="s">
        <x:v>93</x:v>
      </x:c>
      <x:c r="AM7" s="52"/>
    </x:row>
    <x:row r="8" ht="60" hidden="0" customHeight="1">
      <x:c r="A8" s="16" t="n">
        <x:v>18</x:v>
      </x:c>
      <x:c r="B8" s="16" t="s">
        <x:v>94</x:v>
      </x:c>
      <x:c r="C8" s="16" t="s">
        <x:v>73</x:v>
      </x:c>
      <x:c r="D8" s="16" t="s">
        <x:v>95</x:v>
      </x:c>
      <x:c r="E8" s="17" t="n">
        <x:v>30</x:v>
      </x:c>
      <x:c r="F8" s="17" t="n">
        <x:v>27</x:v>
      </x:c>
      <x:c r="G8" s="17" t="n">
        <x:v>532</x:v>
      </x:c>
      <x:c r="H8" s="16" t="s">
        <x:v>81</x:v>
      </x:c>
      <x:c r="I8" s="16" t="s">
        <x:v>82</x:v>
      </x:c>
      <x:c r="J8" s="18" t="n">
        <x:v>371.841494084</x:v>
      </x:c>
      <x:c r="K8" s="17" t="n">
        <x:v>23630340</x:v>
      </x:c>
      <x:c r="L8" s="17" t="n">
        <x:v>37</x:v>
      </x:c>
      <x:c r="M8" s="17" t="n">
        <x:v>45</x:v>
      </x:c>
      <x:c r="N8" s="17" t="n">
        <x:v>0</x:v>
      </x:c>
      <x:c r="O8" s="19" t="n">
        <x:v>0</x:v>
      </x:c>
      <x:c r="P8" s="19" t="n">
        <x:v>0</x:v>
      </x:c>
      <x:c r="Q8" s="19" t="n">
        <x:v>9.61638908338719E-005</x:v>
      </x:c>
      <x:c r="R8" s="20" t="n">
        <x:v>6766.21757610034</x:v>
      </x:c>
      <x:c r="S8" s="20" t="n">
        <x:v>6840.30778791882</x:v>
      </x:c>
      <x:c r="T8" s="20" t="n">
        <x:v>1.23333333333333</x:v>
      </x:c>
      <x:c r="U8" s="16" t="n">
        <x:v>0</x:v>
      </x:c>
      <x:c r="V8" s="16" t="n">
        <x:v>0</x:v>
      </x:c>
      <x:c r="W8" s="16" t="n">
        <x:v>1</x:v>
      </x:c>
      <x:c r="X8" s="16" t="n">
        <x:v>0</x:v>
      </x:c>
      <x:c r="Y8" s="16" t="n">
        <x:v>1</x:v>
      </x:c>
      <x:c r="Z8" s="16" t="n">
        <x:v>1</x:v>
      </x:c>
      <x:c r="AA8" s="16" t="n">
        <x:v>0</x:v>
      </x:c>
      <x:c r="AB8" s="16" t="n">
        <x:v>1</x:v>
      </x:c>
      <x:c r="AC8" s="16" t="n">
        <x:v>0</x:v>
      </x:c>
      <x:c r="AD8" s="16" t="n">
        <x:v>0</x:v>
      </x:c>
      <x:c r="AE8" s="16" t="n">
        <x:v>0</x:v>
      </x:c>
      <x:c r="AF8" s="21" t="n">
        <x:v>0</x:v>
      </x:c>
      <x:c r="AG8" s="21" t="n">
        <x:v>1</x:v>
      </x:c>
      <x:c r="AH8" s="21" t="n">
        <x:v>0</x:v>
      </x:c>
      <x:c r="AI8" s="21" t="n">
        <x:v>0</x:v>
      </x:c>
      <x:c r="AJ8" s="21" t="n">
        <x:v>0</x:v>
      </x:c>
      <x:c r="AK8" s="16" t="s">
        <x:v>83</x:v>
      </x:c>
      <x:c r="AL8" s="22" t="s">
        <x:v>96</x:v>
      </x:c>
      <x:c r="AM8" s="52"/>
    </x:row>
    <x:row r="9" ht="60" hidden="0" customHeight="1">
      <x:c r="A9" s="16" t="n">
        <x:v>19</x:v>
      </x:c>
      <x:c r="B9" s="16" t="s">
        <x:v>97</x:v>
      </x:c>
      <x:c r="C9" s="16" t="s">
        <x:v>73</x:v>
      </x:c>
      <x:c r="D9" s="16" t="s">
        <x:v>98</x:v>
      </x:c>
      <x:c r="E9" s="17" t="n">
        <x:v>227535</x:v>
      </x:c>
      <x:c r="F9" s="17" t="n">
        <x:v>457985</x:v>
      </x:c>
      <x:c r="G9" s="17" t="n">
        <x:v>1233372</x:v>
      </x:c>
      <x:c r="H9" s="16" t="s">
        <x:v>99</x:v>
      </x:c>
      <x:c r="I9" s="16" t="s">
        <x:v>76</x:v>
      </x:c>
      <x:c r="J9" s="18"/>
      <x:c r="K9" s="17" t="n">
        <x:v>0</x:v>
      </x:c>
      <x:c r="L9" s="17" t="n">
        <x:v>0</x:v>
      </x:c>
      <x:c r="M9" s="17" t="n">
        <x:v>0</x:v>
      </x:c>
      <x:c r="N9" s="17" t="n">
        <x:v>0</x:v>
      </x:c>
      <x:c r="O9" s="19" t="n">
        <x:v>0.55204693783374</x:v>
      </x:c>
      <x:c r="P9" s="19" t="n">
        <x:v>0.514396759719205</x:v>
      </x:c>
      <x:c r="Q9" s="19"/>
      <x:c r="R9" s="20"/>
      <x:c r="S9" s="20"/>
      <x:c r="T9" s="20" t="n">
        <x:v>0</x:v>
      </x:c>
      <x:c r="U9" s="16" t="n">
        <x:v>0</x:v>
      </x:c>
      <x:c r="V9" s="16" t="n">
        <x:v>1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1</x:v>
      </x:c>
      <x:c r="AB9" s="16" t="n">
        <x:v>0</x:v>
      </x:c>
      <x:c r="AC9" s="16" t="n">
        <x:v>0</x:v>
      </x:c>
      <x:c r="AD9" s="16" t="n">
        <x:v>0</x:v>
      </x:c>
      <x:c r="AE9" s="16" t="n">
        <x:v>0</x:v>
      </x:c>
      <x:c r="AF9" s="21" t="n">
        <x:v>1</x:v>
      </x:c>
      <x:c r="AG9" s="21" t="n">
        <x:v>0</x:v>
      </x:c>
      <x:c r="AH9" s="21" t="n">
        <x:v>0</x:v>
      </x:c>
      <x:c r="AI9" s="21" t="n">
        <x:v>0</x:v>
      </x:c>
      <x:c r="AJ9" s="21" t="n">
        <x:v>0</x:v>
      </x:c>
      <x:c r="AK9" s="16" t="s">
        <x:v>77</x:v>
      </x:c>
      <x:c r="AL9" s="22" t="s">
        <x:v>100</x:v>
      </x:c>
      <x:c r="AM9" s="52"/>
    </x:row>
    <x:row r="10" ht="60" hidden="0" customHeight="1">
      <x:c r="A10" s="16" t="n">
        <x:v>26</x:v>
      </x:c>
      <x:c r="B10" s="16" t="s">
        <x:v>101</x:v>
      </x:c>
      <x:c r="C10" s="16" t="s">
        <x:v>73</x:v>
      </x:c>
      <x:c r="D10" s="16" t="s">
        <x:v>102</x:v>
      </x:c>
      <x:c r="E10" s="17" t="n">
        <x:v>164547</x:v>
      </x:c>
      <x:c r="F10" s="17" t="n">
        <x:v>328818</x:v>
      </x:c>
      <x:c r="G10" s="17" t="n">
        <x:v>549920</x:v>
      </x:c>
      <x:c r="H10" s="16" t="s">
        <x:v>81</x:v>
      </x:c>
      <x:c r="I10" s="16" t="s">
        <x:v>82</x:v>
      </x:c>
      <x:c r="J10" s="18" t="n">
        <x:v>74.080644598</x:v>
      </x:c>
      <x:c r="K10" s="17" t="n">
        <x:v>2147</x:v>
      </x:c>
      <x:c r="L10" s="17" t="n">
        <x:v>1387</x:v>
      </x:c>
      <x:c r="M10" s="17" t="n">
        <x:v>65</x:v>
      </x:c>
      <x:c r="N10" s="17" t="n">
        <x:v>0</x:v>
      </x:c>
      <x:c r="O10" s="19" t="n">
        <x:v>0.912973193069457</x:v>
      </x:c>
      <x:c r="P10" s="19" t="n">
        <x:v>0.9113004762513</x:v>
      </x:c>
      <x:c r="Q10" s="19" t="n">
        <x:v>0</x:v>
      </x:c>
      <x:c r="R10" s="20" t="n">
        <x:v>-602.176180618787</x:v>
      </x:c>
      <x:c r="S10" s="20" t="n">
        <x:v>-495</x:v>
      </x:c>
      <x:c r="T10" s="20" t="n">
        <x:v>0.0084292025986496</x:v>
      </x:c>
      <x:c r="U10" s="16" t="n">
        <x:v>0</x:v>
      </x:c>
      <x:c r="V10" s="16" t="n">
        <x:v>0</x:v>
      </x:c>
      <x:c r="W10" s="16" t="n">
        <x:v>0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  <x:c r="AD10" s="16" t="n">
        <x:v>0</x:v>
      </x:c>
      <x:c r="AE10" s="16" t="n">
        <x:v>0</x:v>
      </x:c>
      <x:c r="AF10" s="21" t="n">
        <x:v>0</x:v>
      </x:c>
      <x:c r="AG10" s="21" t="n">
        <x:v>0</x:v>
      </x:c>
      <x:c r="AH10" s="21" t="n">
        <x:v>0</x:v>
      </x:c>
      <x:c r="AI10" s="21" t="n">
        <x:v>0</x:v>
      </x:c>
      <x:c r="AJ10" s="21" t="n">
        <x:v>0</x:v>
      </x:c>
      <x:c r="AK10" s="16" t="s">
        <x:v>83</x:v>
      </x:c>
      <x:c r="AL10" s="22" t="s">
        <x:v>103</x:v>
      </x:c>
      <x:c r="AM10" s="52"/>
    </x:row>
    <x:row r="11" ht="60" hidden="0" customHeight="1">
      <x:c r="A11" s="16" t="n">
        <x:v>27</x:v>
      </x:c>
      <x:c r="B11" s="16" t="s">
        <x:v>104</x:v>
      </x:c>
      <x:c r="C11" s="16" t="s">
        <x:v>73</x:v>
      </x:c>
      <x:c r="D11" s="16" t="s">
        <x:v>105</x:v>
      </x:c>
      <x:c r="E11" s="17" t="n">
        <x:v>34</x:v>
      </x:c>
      <x:c r="F11" s="17" t="n">
        <x:v>4</x:v>
      </x:c>
      <x:c r="G11" s="17" t="n">
        <x:v>123</x:v>
      </x:c>
      <x:c r="H11" s="16" t="s">
        <x:v>81</x:v>
      </x:c>
      <x:c r="I11" s="16" t="s">
        <x:v>82</x:v>
      </x:c>
      <x:c r="J11" s="18" t="n">
        <x:v>7.271234236</x:v>
      </x:c>
      <x:c r="K11" s="17" t="n">
        <x:v>1680113</x:v>
      </x:c>
      <x:c r="L11" s="17" t="n">
        <x:v>3212105</x:v>
      </x:c>
      <x:c r="M11" s="17" t="n">
        <x:v>23</x:v>
      </x:c>
      <x:c r="N11" s="17" t="n">
        <x:v>0</x:v>
      </x:c>
      <x:c r="O11" s="19" t="n">
        <x:v>0</x:v>
      </x:c>
      <x:c r="P11" s="19" t="n">
        <x:v>0</x:v>
      </x:c>
      <x:c r="Q11" s="19" t="n">
        <x:v>0</x:v>
      </x:c>
      <x:c r="R11" s="20" t="n">
        <x:v>0</x:v>
      </x:c>
      <x:c r="S11" s="20" t="n">
        <x:v>1</x:v>
      </x:c>
      <x:c r="T11" s="20" t="n">
        <x:v>94473.6764705882</x:v>
      </x:c>
      <x:c r="U11" s="16" t="n">
        <x:v>0</x:v>
      </x:c>
      <x:c r="V11" s="16" t="n">
        <x:v>0</x:v>
      </x:c>
      <x:c r="W11" s="16" t="n">
        <x:v>1</x:v>
      </x:c>
      <x:c r="X11" s="16" t="n">
        <x:v>0</x:v>
      </x:c>
      <x:c r="Y11" s="16" t="n">
        <x:v>1</x:v>
      </x:c>
      <x:c r="Z11" s="16" t="n">
        <x:v>1</x:v>
      </x:c>
      <x:c r="AA11" s="16" t="n">
        <x:v>0</x:v>
      </x:c>
      <x:c r="AB11" s="16" t="n">
        <x:v>1</x:v>
      </x:c>
      <x:c r="AC11" s="16" t="n">
        <x:v>0</x:v>
      </x:c>
      <x:c r="AD11" s="16" t="n">
        <x:v>1</x:v>
      </x:c>
      <x:c r="AE11" s="16" t="n">
        <x:v>0</x:v>
      </x:c>
      <x:c r="AF11" s="21" t="n">
        <x:v>0</x:v>
      </x:c>
      <x:c r="AG11" s="21" t="n">
        <x:v>1</x:v>
      </x:c>
      <x:c r="AH11" s="21" t="n">
        <x:v>0</x:v>
      </x:c>
      <x:c r="AI11" s="21" t="n">
        <x:v>1</x:v>
      </x:c>
      <x:c r="AJ11" s="21" t="n">
        <x:v>0</x:v>
      </x:c>
      <x:c r="AK11" s="16" t="s">
        <x:v>83</x:v>
      </x:c>
      <x:c r="AL11" s="22" t="s">
        <x:v>106</x:v>
      </x:c>
      <x:c r="AM11" s="52"/>
    </x:row>
    <x:row r="12" ht="60" hidden="0" customHeight="1">
      <x:c r="A12" s="16" t="n">
        <x:v>38</x:v>
      </x:c>
      <x:c r="B12" s="16" t="s">
        <x:v>107</x:v>
      </x:c>
      <x:c r="C12" s="16" t="s">
        <x:v>73</x:v>
      </x:c>
      <x:c r="D12" s="16" t="s">
        <x:v>108</x:v>
      </x:c>
      <x:c r="E12" s="17" t="n">
        <x:v>32868</x:v>
      </x:c>
      <x:c r="F12" s="17" t="n">
        <x:v>38268</x:v>
      </x:c>
      <x:c r="G12" s="17" t="n">
        <x:v>4898304</x:v>
      </x:c>
      <x:c r="H12" s="16" t="s">
        <x:v>75</x:v>
      </x:c>
      <x:c r="I12" s="16" t="s">
        <x:v>76</x:v>
      </x:c>
      <x:c r="J12" s="18" t="n">
        <x:v>3601.319340914</x:v>
      </x:c>
      <x:c r="K12" s="17" t="n">
        <x:v>3696</x:v>
      </x:c>
      <x:c r="L12" s="17" t="n">
        <x:v>10046</x:v>
      </x:c>
      <x:c r="M12" s="17" t="n">
        <x:v>9141</x:v>
      </x:c>
      <x:c r="N12" s="17" t="n">
        <x:v>0</x:v>
      </x:c>
      <x:c r="O12" s="19" t="n">
        <x:v>0.160490446635025</x:v>
      </x:c>
      <x:c r="P12" s="19" t="n">
        <x:v>0.5</x:v>
      </x:c>
      <x:c r="Q12" s="19" t="n">
        <x:v>0.0089522926871383</x:v>
      </x:c>
      <x:c r="R12" s="20" t="n">
        <x:v>179.50037100659</x:v>
      </x:c>
      <x:c r="S12" s="20" t="n">
        <x:v>180.370682730938</x:v>
      </x:c>
      <x:c r="T12" s="20" t="n">
        <x:v>0.305646829743215</x:v>
      </x:c>
      <x:c r="U12" s="16" t="n">
        <x:v>0</x:v>
      </x:c>
      <x:c r="V12" s="16" t="n">
        <x:v>0</x:v>
      </x:c>
      <x:c r="W12" s="16" t="n">
        <x:v>0</x:v>
      </x:c>
      <x:c r="X12" s="16" t="n">
        <x:v>1</x:v>
      </x:c>
      <x:c r="Y12" s="16" t="n">
        <x:v>0</x:v>
      </x:c>
      <x:c r="Z12" s="16" t="n">
        <x:v>0</x:v>
      </x:c>
      <x:c r="AA12" s="16" t="n">
        <x:v>0</x:v>
      </x:c>
      <x:c r="AB12" s="16" t="n">
        <x:v>0</x:v>
      </x:c>
      <x:c r="AC12" s="16" t="n">
        <x:v>1</x:v>
      </x:c>
      <x:c r="AD12" s="16" t="n">
        <x:v>0</x:v>
      </x:c>
      <x:c r="AE12" s="16" t="n">
        <x:v>0</x:v>
      </x:c>
      <x:c r="AF12" s="21" t="n">
        <x:v>0</x:v>
      </x:c>
      <x:c r="AG12" s="21" t="n">
        <x:v>0</x:v>
      </x:c>
      <x:c r="AH12" s="21" t="n">
        <x:v>1</x:v>
      </x:c>
      <x:c r="AI12" s="21" t="n">
        <x:v>0</x:v>
      </x:c>
      <x:c r="AJ12" s="21" t="n">
        <x:v>0</x:v>
      </x:c>
      <x:c r="AK12" s="16" t="s">
        <x:v>83</x:v>
      </x:c>
      <x:c r="AL12" s="22" t="s">
        <x:v>109</x:v>
      </x:c>
      <x:c r="AM12" s="52"/>
    </x:row>
    <x:row r="13" ht="60" hidden="0" customHeight="1">
      <x:c r="A13" s="16" t="n">
        <x:v>43</x:v>
      </x:c>
      <x:c r="B13" s="16" t="s">
        <x:v>110</x:v>
      </x:c>
      <x:c r="C13" s="16" t="s">
        <x:v>73</x:v>
      </x:c>
      <x:c r="D13" s="16" t="s">
        <x:v>111</x:v>
      </x:c>
      <x:c r="E13" s="17" t="n">
        <x:v>1385</x:v>
      </x:c>
      <x:c r="F13" s="17" t="n">
        <x:v>850</x:v>
      </x:c>
      <x:c r="G13" s="17" t="n">
        <x:v>384329</x:v>
      </x:c>
      <x:c r="H13" s="16" t="s">
        <x:v>81</x:v>
      </x:c>
      <x:c r="I13" s="16" t="s">
        <x:v>82</x:v>
      </x:c>
      <x:c r="J13" s="18" t="n">
        <x:v>12.411840317</x:v>
      </x:c>
      <x:c r="K13" s="17" t="n">
        <x:v>881</x:v>
      </x:c>
      <x:c r="L13" s="17" t="n">
        <x:v>70</x:v>
      </x:c>
      <x:c r="M13" s="17" t="n">
        <x:v>791</x:v>
      </x:c>
      <x:c r="N13" s="17" t="n">
        <x:v>0</x:v>
      </x:c>
      <x:c r="O13" s="19" t="n">
        <x:v>0.11985559566787</x:v>
      </x:c>
      <x:c r="P13" s="19" t="n">
        <x:v>0.331764705882353</x:v>
      </x:c>
      <x:c r="Q13" s="19" t="n">
        <x:v>0</x:v>
      </x:c>
      <x:c r="R13" s="20" t="n">
        <x:v>2091.90342137296</x:v>
      </x:c>
      <x:c r="S13" s="20" t="n">
        <x:v>3201</x:v>
      </x:c>
      <x:c r="T13" s="20" t="n">
        <x:v>0.0505415162454873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  <x:c r="AD13" s="16" t="n">
        <x:v>0</x:v>
      </x:c>
      <x:c r="AE13" s="16" t="n">
        <x:v>0</x:v>
      </x:c>
      <x:c r="AF13" s="21" t="n">
        <x:v>0</x:v>
      </x:c>
      <x:c r="AG13" s="21" t="n">
        <x:v>0</x:v>
      </x:c>
      <x:c r="AH13" s="21" t="n">
        <x:v>0</x:v>
      </x:c>
      <x:c r="AI13" s="21" t="n">
        <x:v>0</x:v>
      </x:c>
      <x:c r="AJ13" s="21" t="n">
        <x:v>0</x:v>
      </x:c>
      <x:c r="AK13" s="16" t="s">
        <x:v>83</x:v>
      </x:c>
      <x:c r="AL13" s="22" t="s">
        <x:v>112</x:v>
      </x:c>
      <x:c r="AM13" s="52"/>
    </x:row>
    <x:row r="14" ht="60" hidden="0" customHeight="1">
      <x:c r="A14" s="16" t="n">
        <x:v>44</x:v>
      </x:c>
      <x:c r="B14" s="16" t="s">
        <x:v>113</x:v>
      </x:c>
      <x:c r="C14" s="16" t="s">
        <x:v>73</x:v>
      </x:c>
      <x:c r="D14" s="16" t="s">
        <x:v>114</x:v>
      </x:c>
      <x:c r="E14" s="17" t="n">
        <x:v>175288</x:v>
      </x:c>
      <x:c r="F14" s="17" t="n">
        <x:v>93360</x:v>
      </x:c>
      <x:c r="G14" s="17" t="n">
        <x:v>350576</x:v>
      </x:c>
      <x:c r="H14" s="16" t="s">
        <x:v>75</x:v>
      </x:c>
      <x:c r="I14" s="16" t="s">
        <x:v>76</x:v>
      </x:c>
      <x:c r="J14" s="18" t="n">
        <x:v>3604.589139937</x:v>
      </x:c>
      <x:c r="K14" s="17" t="n">
        <x:v>16298</x:v>
      </x:c>
      <x:c r="L14" s="17" t="n">
        <x:v>7502</x:v>
      </x:c>
      <x:c r="M14" s="17" t="n">
        <x:v>180</x:v>
      </x:c>
      <x:c r="N14" s="17" t="n">
        <x:v>0</x:v>
      </x:c>
      <x:c r="O14" s="19" t="n">
        <x:v>0.0190600611564967</x:v>
      </x:c>
      <x:c r="P14" s="19" t="n">
        <x:v>0.0271958011996572</x:v>
      </x:c>
      <x:c r="Q14" s="19" t="n">
        <x:v>0.126219526737583</x:v>
      </x:c>
      <x:c r="R14" s="20" t="n">
        <x:v>98.7301546596923</x:v>
      </x:c>
      <x:c r="S14" s="20" t="n">
        <x:v>106.118567120294</x:v>
      </x:c>
      <x:c r="T14" s="20" t="n">
        <x:v>0.0427981379215918</x:v>
      </x:c>
      <x:c r="U14" s="16" t="n">
        <x:v>0</x:v>
      </x:c>
      <x:c r="V14" s="16" t="n">
        <x:v>1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6" t="n">
        <x:v>1</x:v>
      </x:c>
      <x:c r="AB14" s="16" t="n">
        <x:v>0</x:v>
      </x:c>
      <x:c r="AC14" s="16" t="n">
        <x:v>0</x:v>
      </x:c>
      <x:c r="AD14" s="16" t="n">
        <x:v>0</x:v>
      </x:c>
      <x:c r="AE14" s="16" t="n">
        <x:v>0</x:v>
      </x:c>
      <x:c r="AF14" s="21" t="n">
        <x:v>1</x:v>
      </x:c>
      <x:c r="AG14" s="21" t="n">
        <x:v>0</x:v>
      </x:c>
      <x:c r="AH14" s="21" t="n">
        <x:v>0</x:v>
      </x:c>
      <x:c r="AI14" s="21" t="n">
        <x:v>0</x:v>
      </x:c>
      <x:c r="AJ14" s="21" t="n">
        <x:v>0</x:v>
      </x:c>
      <x:c r="AK14" s="16" t="s">
        <x:v>115</x:v>
      </x:c>
      <x:c r="AL14" s="22" t="s">
        <x:v>116</x:v>
      </x:c>
      <x:c r="AM14" s="52"/>
    </x:row>
    <x:row r="15" ht="60" hidden="0" customHeight="1">
      <x:c r="A15" s="16" t="n">
        <x:v>55</x:v>
      </x:c>
      <x:c r="B15" s="16" t="s">
        <x:v>117</x:v>
      </x:c>
      <x:c r="C15" s="16" t="s">
        <x:v>73</x:v>
      </x:c>
      <x:c r="D15" s="16" t="s">
        <x:v>118</x:v>
      </x:c>
      <x:c r="E15" s="17" t="n">
        <x:v>30200</x:v>
      </x:c>
      <x:c r="F15" s="17" t="n">
        <x:v>40698</x:v>
      </x:c>
      <x:c r="G15" s="17" t="n">
        <x:v>2110696</x:v>
      </x:c>
      <x:c r="H15" s="16" t="s">
        <x:v>81</x:v>
      </x:c>
      <x:c r="I15" s="16" t="s">
        <x:v>82</x:v>
      </x:c>
      <x:c r="J15" s="18" t="n">
        <x:v>461.666101705</x:v>
      </x:c>
      <x:c r="K15" s="17" t="n">
        <x:v>569</x:v>
      </x:c>
      <x:c r="L15" s="17" t="n">
        <x:v>41411</x:v>
      </x:c>
      <x:c r="M15" s="17" t="n">
        <x:v>8228</x:v>
      </x:c>
      <x:c r="N15" s="17" t="n">
        <x:v>0</x:v>
      </x:c>
      <x:c r="O15" s="19" t="n">
        <x:v>3.31125827814915E-005</x:v>
      </x:c>
      <x:c r="P15" s="19" t="n">
        <x:v>0.25062656641604</x:v>
      </x:c>
      <x:c r="Q15" s="19" t="n">
        <x:v>1.34246429848399E-015</x:v>
      </x:c>
      <x:c r="R15" s="20" t="n">
        <x:v>-1524.33333333334</x:v>
      </x:c>
      <x:c r="S15" s="20" t="n">
        <x:v>-1524.33333333334</x:v>
      </x:c>
      <x:c r="T15" s="20" t="n">
        <x:v>1.37122516556291</x:v>
      </x:c>
      <x:c r="U15" s="16" t="n">
        <x:v>0</x:v>
      </x:c>
      <x:c r="V15" s="16" t="n">
        <x:v>0</x:v>
      </x:c>
      <x:c r="W15" s="16" t="n">
        <x:v>0</x:v>
      </x:c>
      <x:c r="X15" s="16" t="n">
        <x:v>1</x:v>
      </x:c>
      <x:c r="Y15" s="16" t="n">
        <x:v>1</x:v>
      </x:c>
      <x:c r="Z15" s="16" t="n">
        <x:v>0</x:v>
      </x:c>
      <x:c r="AA15" s="16" t="n">
        <x:v>0</x:v>
      </x:c>
      <x:c r="AB15" s="16" t="n">
        <x:v>0</x:v>
      </x:c>
      <x:c r="AC15" s="16" t="n">
        <x:v>1</x:v>
      </x:c>
      <x:c r="AD15" s="16" t="n">
        <x:v>1</x:v>
      </x:c>
      <x:c r="AE15" s="16" t="n">
        <x:v>0</x:v>
      </x:c>
      <x:c r="AF15" s="21" t="n">
        <x:v>0</x:v>
      </x:c>
      <x:c r="AG15" s="21" t="n">
        <x:v>0</x:v>
      </x:c>
      <x:c r="AH15" s="21" t="n">
        <x:v>1</x:v>
      </x:c>
      <x:c r="AI15" s="21" t="n">
        <x:v>1</x:v>
      </x:c>
      <x:c r="AJ15" s="21" t="n">
        <x:v>0</x:v>
      </x:c>
      <x:c r="AK15" s="16" t="s">
        <x:v>77</x:v>
      </x:c>
      <x:c r="AL15" s="22" t="s">
        <x:v>119</x:v>
      </x:c>
      <x:c r="AM15" s="52"/>
    </x:row>
    <x:row r="16" ht="60" hidden="0" customHeight="1">
      <x:c r="A16" s="16" t="n">
        <x:v>57</x:v>
      </x:c>
      <x:c r="B16" s="16" t="s">
        <x:v>120</x:v>
      </x:c>
      <x:c r="C16" s="16" t="s">
        <x:v>73</x:v>
      </x:c>
      <x:c r="D16" s="16" t="s">
        <x:v>121</x:v>
      </x:c>
      <x:c r="E16" s="17" t="n">
        <x:v>13264</x:v>
      </x:c>
      <x:c r="F16" s="17" t="n">
        <x:v>41</x:v>
      </x:c>
      <x:c r="G16" s="17" t="n">
        <x:v>335643</x:v>
      </x:c>
      <x:c r="H16" s="16" t="s">
        <x:v>99</x:v>
      </x:c>
      <x:c r="I16" s="16" t="s">
        <x:v>76</x:v>
      </x:c>
      <x:c r="J16" s="18" t="n">
        <x:v>3600.883753305</x:v>
      </x:c>
      <x:c r="K16" s="17" t="n">
        <x:v>1293047</x:v>
      </x:c>
      <x:c r="L16" s="17" t="n">
        <x:v>34</x:v>
      </x:c>
      <x:c r="M16" s="17" t="n">
        <x:v>1200</x:v>
      </x:c>
      <x:c r="N16" s="17" t="n">
        <x:v>0</x:v>
      </x:c>
      <x:c r="O16" s="19" t="n">
        <x:v>0.0172647768395657</x:v>
      </x:c>
      <x:c r="P16" s="19" t="n">
        <x:v>0.024390243902439</x:v>
      </x:c>
      <x:c r="Q16" s="19"/>
      <x:c r="R16" s="20" t="n">
        <x:v>0</x:v>
      </x:c>
      <x:c r="S16" s="20" t="n">
        <x:v>0</x:v>
      </x:c>
      <x:c r="T16" s="20" t="n">
        <x:v>0.0025633293124246</x:v>
      </x:c>
      <x:c r="U16" s="16" t="n">
        <x:v>0</x:v>
      </x:c>
      <x:c r="V16" s="16" t="n">
        <x:v>1</x:v>
      </x:c>
      <x:c r="W16" s="16" t="n">
        <x:v>0</x:v>
      </x:c>
      <x:c r="X16" s="16" t="n">
        <x:v>1</x:v>
      </x:c>
      <x:c r="Y16" s="16" t="n">
        <x:v>0</x:v>
      </x:c>
      <x:c r="Z16" s="16" t="n">
        <x:v>0</x:v>
      </x:c>
      <x:c r="AA16" s="16" t="n">
        <x:v>1</x:v>
      </x:c>
      <x:c r="AB16" s="16" t="n">
        <x:v>0</x:v>
      </x:c>
      <x:c r="AC16" s="16" t="n">
        <x:v>1</x:v>
      </x:c>
      <x:c r="AD16" s="16" t="n">
        <x:v>0</x:v>
      </x:c>
      <x:c r="AE16" s="16" t="n">
        <x:v>0</x:v>
      </x:c>
      <x:c r="AF16" s="21" t="n">
        <x:v>1</x:v>
      </x:c>
      <x:c r="AG16" s="21" t="n">
        <x:v>0</x:v>
      </x:c>
      <x:c r="AH16" s="21" t="n">
        <x:v>1</x:v>
      </x:c>
      <x:c r="AI16" s="21" t="n">
        <x:v>0</x:v>
      </x:c>
      <x:c r="AJ16" s="21" t="n">
        <x:v>0</x:v>
      </x:c>
      <x:c r="AK16" s="16" t="s">
        <x:v>77</x:v>
      </x:c>
      <x:c r="AL16" s="22" t="s">
        <x:v>122</x:v>
      </x:c>
      <x:c r="AM16" s="52"/>
    </x:row>
    <x:row r="17" ht="60" hidden="0" customHeight="1">
      <x:c r="A17" s="16" t="n">
        <x:v>63</x:v>
      </x:c>
      <x:c r="B17" s="16" t="s">
        <x:v>123</x:v>
      </x:c>
      <x:c r="C17" s="16" t="s">
        <x:v>73</x:v>
      </x:c>
      <x:c r="D17" s="16" t="s">
        <x:v>124</x:v>
      </x:c>
      <x:c r="E17" s="17" t="n">
        <x:v>2700</x:v>
      </x:c>
      <x:c r="F17" s="17" t="n">
        <x:v>125</x:v>
      </x:c>
      <x:c r="G17" s="17" t="n">
        <x:v>5200</x:v>
      </x:c>
      <x:c r="H17" s="16" t="s">
        <x:v>81</x:v>
      </x:c>
      <x:c r="I17" s="16" t="s">
        <x:v>82</x:v>
      </x:c>
      <x:c r="J17" s="18" t="n">
        <x:v>9.219655989</x:v>
      </x:c>
      <x:c r="K17" s="17" t="n">
        <x:v>7025</x:v>
      </x:c>
      <x:c r="L17" s="17" t="n">
        <x:v>100</x:v>
      </x:c>
      <x:c r="M17" s="17" t="n">
        <x:v>384</x:v>
      </x:c>
      <x:c r="N17" s="17" t="n">
        <x:v>0</x:v>
      </x:c>
      <x:c r="O17" s="19" t="n">
        <x:v>0</x:v>
      </x:c>
      <x:c r="P17" s="19" t="n">
        <x:v>0</x:v>
      </x:c>
      <x:c r="Q17" s="19" t="n">
        <x:v>0</x:v>
      </x:c>
      <x:c r="R17" s="20" t="n">
        <x:v>-11824.6573815593</x:v>
      </x:c>
      <x:c r="S17" s="20" t="n">
        <x:v>-8674.34260711703</x:v>
      </x:c>
      <x:c r="T17" s="20" t="n">
        <x:v>0.037037037037037</x:v>
      </x:c>
      <x:c r="U17" s="16" t="n">
        <x:v>0</x:v>
      </x:c>
      <x:c r="V17" s="16" t="n">
        <x:v>0</x:v>
      </x:c>
      <x:c r="W17" s="16" t="n">
        <x:v>0</x:v>
      </x:c>
      <x:c r="X17" s="16" t="n">
        <x:v>0</x:v>
      </x:c>
      <x:c r="Y17" s="16" t="n">
        <x:v>0</x:v>
      </x:c>
      <x:c r="Z17" s="16" t="n">
        <x:v>1</x:v>
      </x:c>
      <x:c r="AA17" s="16" t="n">
        <x:v>0</x:v>
      </x:c>
      <x:c r="AB17" s="16" t="n">
        <x:v>0</x:v>
      </x:c>
      <x:c r="AC17" s="16" t="n">
        <x:v>0</x:v>
      </x:c>
      <x:c r="AD17" s="16" t="n">
        <x:v>0</x:v>
      </x:c>
      <x:c r="AE17" s="16" t="n">
        <x:v>1</x:v>
      </x:c>
      <x:c r="AF17" s="21" t="n">
        <x:v>0</x:v>
      </x:c>
      <x:c r="AG17" s="21" t="n">
        <x:v>0</x:v>
      </x:c>
      <x:c r="AH17" s="21" t="n">
        <x:v>0</x:v>
      </x:c>
      <x:c r="AI17" s="21" t="n">
        <x:v>0</x:v>
      </x:c>
      <x:c r="AJ17" s="21" t="n">
        <x:v>1</x:v>
      </x:c>
      <x:c r="AK17" s="16" t="s">
        <x:v>77</x:v>
      </x:c>
      <x:c r="AL17" s="22" t="s">
        <x:v>125</x:v>
      </x:c>
      <x:c r="AM17" s="52"/>
    </x:row>
    <x:row r="18" ht="60" hidden="0" customHeight="1">
      <x:c r="A18" s="16" t="n">
        <x:v>71</x:v>
      </x:c>
      <x:c r="B18" s="16" t="s">
        <x:v>126</x:v>
      </x:c>
      <x:c r="C18" s="16" t="s">
        <x:v>73</x:v>
      </x:c>
      <x:c r="D18" s="16" t="s">
        <x:v>127</x:v>
      </x:c>
      <x:c r="E18" s="17" t="n">
        <x:v>504</x:v>
      </x:c>
      <x:c r="F18" s="17" t="n">
        <x:v>447</x:v>
      </x:c>
      <x:c r="G18" s="17" t="n">
        <x:v>10277</x:v>
      </x:c>
      <x:c r="H18" s="16" t="s">
        <x:v>81</x:v>
      </x:c>
      <x:c r="I18" s="16" t="s">
        <x:v>82</x:v>
      </x:c>
      <x:c r="J18" s="18" t="n">
        <x:v>1461.952237804</x:v>
      </x:c>
      <x:c r="K18" s="17" t="n">
        <x:v>15732417</x:v>
      </x:c>
      <x:c r="L18" s="17" t="n">
        <x:v>415</x:v>
      </x:c>
      <x:c r="M18" s="17" t="n">
        <x:v>926</x:v>
      </x:c>
      <x:c r="N18" s="17" t="n">
        <x:v>0</x:v>
      </x:c>
      <x:c r="O18" s="19" t="n">
        <x:v>0</x:v>
      </x:c>
      <x:c r="P18" s="19" t="n">
        <x:v>0</x:v>
      </x:c>
      <x:c r="Q18" s="19" t="n">
        <x:v>9.57044576907063E-005</x:v>
      </x:c>
      <x:c r="R18" s="20" t="n">
        <x:v>3444.42106638948</x:v>
      </x:c>
      <x:c r="S18" s="20" t="n">
        <x:v>3711.64474505149</x:v>
      </x:c>
      <x:c r="T18" s="20" t="n">
        <x:v>0.823412698412698</x:v>
      </x:c>
      <x:c r="U18" s="16" t="n">
        <x:v>0</x:v>
      </x:c>
      <x:c r="V18" s="16" t="n">
        <x:v>0</x:v>
      </x:c>
      <x:c r="W18" s="16" t="n">
        <x:v>1</x:v>
      </x:c>
      <x:c r="X18" s="16" t="n">
        <x:v>0</x:v>
      </x:c>
      <x:c r="Y18" s="16" t="n">
        <x:v>0</x:v>
      </x:c>
      <x:c r="Z18" s="16" t="n">
        <x:v>1</x:v>
      </x:c>
      <x:c r="AA18" s="16" t="n">
        <x:v>0</x:v>
      </x:c>
      <x:c r="AB18" s="16" t="n">
        <x:v>1</x:v>
      </x:c>
      <x:c r="AC18" s="16" t="n">
        <x:v>0</x:v>
      </x:c>
      <x:c r="AD18" s="16" t="n">
        <x:v>0</x:v>
      </x:c>
      <x:c r="AE18" s="16" t="n">
        <x:v>1</x:v>
      </x:c>
      <x:c r="AF18" s="21" t="n">
        <x:v>0</x:v>
      </x:c>
      <x:c r="AG18" s="21" t="n">
        <x:v>1</x:v>
      </x:c>
      <x:c r="AH18" s="21" t="n">
        <x:v>0</x:v>
      </x:c>
      <x:c r="AI18" s="21" t="n">
        <x:v>0</x:v>
      </x:c>
      <x:c r="AJ18" s="21" t="n">
        <x:v>1</x:v>
      </x:c>
      <x:c r="AK18" s="16" t="s">
        <x:v>77</x:v>
      </x:c>
      <x:c r="AL18" s="22" t="s">
        <x:v>128</x:v>
      </x:c>
      <x:c r="AM18" s="52"/>
    </x:row>
    <x:row r="19" ht="60" hidden="0" customHeight="1">
      <x:c r="A19" s="16" t="n">
        <x:v>73</x:v>
      </x:c>
      <x:c r="B19" s="16" t="s">
        <x:v>129</x:v>
      </x:c>
      <x:c r="C19" s="16" t="s">
        <x:v>73</x:v>
      </x:c>
      <x:c r="D19" s="16" t="s">
        <x:v>130</x:v>
      </x:c>
      <x:c r="E19" s="17" t="n">
        <x:v>3117</x:v>
      </x:c>
      <x:c r="F19" s="17" t="n">
        <x:v>1293</x:v>
      </x:c>
      <x:c r="G19" s="17" t="n">
        <x:v>11751</x:v>
      </x:c>
      <x:c r="H19" s="16" t="s">
        <x:v>81</x:v>
      </x:c>
      <x:c r="I19" s="16" t="s">
        <x:v>82</x:v>
      </x:c>
      <x:c r="J19" s="18" t="n">
        <x:v>448.945505433</x:v>
      </x:c>
      <x:c r="K19" s="17" t="n">
        <x:v>5444098</x:v>
      </x:c>
      <x:c r="L19" s="17" t="n">
        <x:v>307</x:v>
      </x:c>
      <x:c r="M19" s="17" t="n">
        <x:v>1301</x:v>
      </x:c>
      <x:c r="N19" s="17" t="n">
        <x:v>0</x:v>
      </x:c>
      <x:c r="O19" s="19" t="n">
        <x:v>0.21655437921078</x:v>
      </x:c>
      <x:c r="P19" s="19" t="n">
        <x:v>0.554524361948956</x:v>
      </x:c>
      <x:c r="Q19" s="19" t="n">
        <x:v>8.48820096002804E-008</x:v>
      </x:c>
      <x:c r="R19" s="20" t="n">
        <x:v>8963.97728484814</x:v>
      </x:c>
      <x:c r="S19" s="20" t="n">
        <x:v>11459.9990272522</x:v>
      </x:c>
      <x:c r="T19" s="20" t="n">
        <x:v>0.0984921398780879</x:v>
      </x:c>
      <x:c r="U19" s="16" t="n">
        <x:v>0</x:v>
      </x:c>
      <x:c r="V19" s="16" t="n">
        <x:v>0</x:v>
      </x:c>
      <x:c r="W19" s="16" t="n">
        <x:v>1</x:v>
      </x:c>
      <x:c r="X19" s="16" t="n">
        <x:v>0</x:v>
      </x:c>
      <x:c r="Y19" s="16" t="n">
        <x:v>0</x:v>
      </x:c>
      <x:c r="Z19" s="16" t="n">
        <x:v>0</x:v>
      </x:c>
      <x:c r="AA19" s="16" t="n">
        <x:v>0</x:v>
      </x:c>
      <x:c r="AB19" s="16" t="n">
        <x:v>1</x:v>
      </x:c>
      <x:c r="AC19" s="16" t="n">
        <x:v>0</x:v>
      </x:c>
      <x:c r="AD19" s="16" t="n">
        <x:v>0</x:v>
      </x:c>
      <x:c r="AE19" s="16" t="n">
        <x:v>0</x:v>
      </x:c>
      <x:c r="AF19" s="21" t="n">
        <x:v>0</x:v>
      </x:c>
      <x:c r="AG19" s="21" t="n">
        <x:v>1</x:v>
      </x:c>
      <x:c r="AH19" s="21" t="n">
        <x:v>0</x:v>
      </x:c>
      <x:c r="AI19" s="21" t="n">
        <x:v>0</x:v>
      </x:c>
      <x:c r="AJ19" s="21" t="n">
        <x:v>0</x:v>
      </x:c>
      <x:c r="AK19" s="16" t="s">
        <x:v>77</x:v>
      </x:c>
      <x:c r="AL19" s="22" t="s">
        <x:v>131</x:v>
      </x:c>
      <x:c r="AM19" s="52"/>
    </x:row>
    <x:row r="20" ht="60" hidden="0" customHeight="1">
      <x:c r="A20" s="16" t="n">
        <x:v>82</x:v>
      </x:c>
      <x:c r="B20" s="16" t="s">
        <x:v>132</x:v>
      </x:c>
      <x:c r="C20" s="16" t="s">
        <x:v>73</x:v>
      </x:c>
      <x:c r="D20" s="16" t="s">
        <x:v>133</x:v>
      </x:c>
      <x:c r="E20" s="17" t="n">
        <x:v>138844</x:v>
      </x:c>
      <x:c r="F20" s="17" t="n">
        <x:v>6532</x:v>
      </x:c>
      <x:c r="G20" s="17" t="n">
        <x:v>2845545</x:v>
      </x:c>
      <x:c r="H20" s="16" t="s">
        <x:v>81</x:v>
      </x:c>
      <x:c r="I20" s="16" t="s">
        <x:v>82</x:v>
      </x:c>
      <x:c r="J20" s="18" t="n">
        <x:v>38.770527014</x:v>
      </x:c>
      <x:c r="K20" s="17" t="n">
        <x:v>2049</x:v>
      </x:c>
      <x:c r="L20" s="17" t="n">
        <x:v>275</x:v>
      </x:c>
      <x:c r="M20" s="17" t="n">
        <x:v>1271</x:v>
      </x:c>
      <x:c r="N20" s="17" t="n">
        <x:v>0</x:v>
      </x:c>
      <x:c r="O20" s="19" t="n">
        <x:v>0.913082308202011</x:v>
      </x:c>
      <x:c r="P20" s="19" t="n">
        <x:v>0.485609308022045</x:v>
      </x:c>
      <x:c r="Q20" s="19" t="n">
        <x:v>7.85726117279596E-005</x:v>
      </x:c>
      <x:c r="R20" s="20" t="n">
        <x:v>-1601.36146637144</x:v>
      </x:c>
      <x:c r="S20" s="20" t="n">
        <x:v>-1132.31213256253</x:v>
      </x:c>
      <x:c r="T20" s="20" t="n">
        <x:v>0.0019806401428941</x:v>
      </x:c>
      <x:c r="U20" s="16" t="n">
        <x:v>0</x:v>
      </x:c>
      <x:c r="V20" s="16" t="n">
        <x:v>0</x:v>
      </x:c>
      <x:c r="W20" s="16" t="n">
        <x:v>0</x:v>
      </x:c>
      <x:c r="X20" s="16" t="n">
        <x:v>0</x:v>
      </x:c>
      <x:c r="Y20" s="16" t="n">
        <x:v>0</x:v>
      </x:c>
      <x:c r="Z20" s="16" t="n">
        <x:v>0</x:v>
      </x:c>
      <x:c r="AA20" s="16" t="n">
        <x:v>0</x:v>
      </x:c>
      <x:c r="AB20" s="16" t="n">
        <x:v>0</x:v>
      </x:c>
      <x:c r="AC20" s="16" t="n">
        <x:v>0</x:v>
      </x:c>
      <x:c r="AD20" s="16" t="n">
        <x:v>0</x:v>
      </x:c>
      <x:c r="AE20" s="16" t="n">
        <x:v>0</x:v>
      </x:c>
      <x:c r="AF20" s="21" t="n">
        <x:v>0</x:v>
      </x:c>
      <x:c r="AG20" s="21" t="n">
        <x:v>0</x:v>
      </x:c>
      <x:c r="AH20" s="21" t="n">
        <x:v>0</x:v>
      </x:c>
      <x:c r="AI20" s="21" t="n">
        <x:v>0</x:v>
      </x:c>
      <x:c r="AJ20" s="21" t="n">
        <x:v>0</x:v>
      </x:c>
      <x:c r="AK20" s="16" t="s">
        <x:v>83</x:v>
      </x:c>
      <x:c r="AL20" s="22" t="s">
        <x:v>134</x:v>
      </x:c>
      <x:c r="AM20" s="52"/>
    </x:row>
    <x:row r="21" ht="60" hidden="0" customHeight="1">
      <x:c r="A21" s="16" t="n">
        <x:v>89</x:v>
      </x:c>
      <x:c r="B21" s="16" t="s">
        <x:v>135</x:v>
      </x:c>
      <x:c r="C21" s="16" t="s">
        <x:v>73</x:v>
      </x:c>
      <x:c r="D21" s="16" t="s">
        <x:v>136</x:v>
      </x:c>
      <x:c r="E21" s="17" t="n">
        <x:v>3361</x:v>
      </x:c>
      <x:c r="F21" s="17" t="n">
        <x:v>1553</x:v>
      </x:c>
      <x:c r="G21" s="17" t="n">
        <x:v>89361</x:v>
      </x:c>
      <x:c r="H21" s="16" t="s">
        <x:v>75</x:v>
      </x:c>
      <x:c r="I21" s="16" t="s">
        <x:v>76</x:v>
      </x:c>
      <x:c r="J21" s="18" t="n">
        <x:v>3600.397794739</x:v>
      </x:c>
      <x:c r="K21" s="17" t="n">
        <x:v>2491924</x:v>
      </x:c>
      <x:c r="L21" s="17" t="n">
        <x:v>1166172310</x:v>
      </x:c>
      <x:c r="M21" s="17" t="n">
        <x:v>2985</x:v>
      </x:c>
      <x:c r="N21" s="17" t="n">
        <x:v>0</x:v>
      </x:c>
      <x:c r="O21" s="19" t="n">
        <x:v>0.319250223147873</x:v>
      </x:c>
      <x:c r="P21" s="19" t="n">
        <x:v>0.581455247907276</x:v>
      </x:c>
      <x:c r="Q21" s="19" t="n">
        <x:v>0.124999999999997</x:v>
      </x:c>
      <x:c r="R21" s="20" t="n">
        <x:v>-9</x:v>
      </x:c>
      <x:c r="S21" s="20" t="n">
        <x:v>-9</x:v>
      </x:c>
      <x:c r="T21" s="20" t="n">
        <x:v>346971.826837251</x:v>
      </x:c>
      <x:c r="U21" s="16" t="n">
        <x:v>0</x:v>
      </x:c>
      <x:c r="V21" s="16" t="n">
        <x:v>1</x:v>
      </x:c>
      <x:c r="W21" s="16" t="n">
        <x:v>1</x:v>
      </x:c>
      <x:c r="X21" s="16" t="n">
        <x:v>1</x:v>
      </x:c>
      <x:c r="Y21" s="16" t="n">
        <x:v>1</x:v>
      </x:c>
      <x:c r="Z21" s="16" t="n">
        <x:v>0</x:v>
      </x:c>
      <x:c r="AA21" s="16" t="n">
        <x:v>1</x:v>
      </x:c>
      <x:c r="AB21" s="16" t="n">
        <x:v>1</x:v>
      </x:c>
      <x:c r="AC21" s="16" t="n">
        <x:v>1</x:v>
      </x:c>
      <x:c r="AD21" s="16" t="n">
        <x:v>1</x:v>
      </x:c>
      <x:c r="AE21" s="16" t="n">
        <x:v>0</x:v>
      </x:c>
      <x:c r="AF21" s="21" t="n">
        <x:v>1</x:v>
      </x:c>
      <x:c r="AG21" s="21" t="n">
        <x:v>1</x:v>
      </x:c>
      <x:c r="AH21" s="21" t="n">
        <x:v>1</x:v>
      </x:c>
      <x:c r="AI21" s="21" t="n">
        <x:v>1</x:v>
      </x:c>
      <x:c r="AJ21" s="21" t="n">
        <x:v>0</x:v>
      </x:c>
      <x:c r="AK21" s="16" t="s">
        <x:v>77</x:v>
      </x:c>
      <x:c r="AL21" s="22" t="s">
        <x:v>137</x:v>
      </x:c>
      <x:c r="AM21" s="52"/>
    </x:row>
    <x:row r="22" ht="60" hidden="0" customHeight="1">
      <x:c r="A22" s="16" t="n">
        <x:v>100</x:v>
      </x:c>
      <x:c r="B22" s="16" t="s">
        <x:v>138</x:v>
      </x:c>
      <x:c r="C22" s="16" t="s">
        <x:v>139</x:v>
      </x:c>
      <x:c r="D22" s="16" t="s">
        <x:v>140</x:v>
      </x:c>
      <x:c r="E22" s="17" t="n">
        <x:v>14387</x:v>
      </x:c>
      <x:c r="F22" s="17" t="n">
        <x:v>10765</x:v>
      </x:c>
      <x:c r="G22" s="17" t="n">
        <x:v>64073</x:v>
      </x:c>
      <x:c r="H22" s="16" t="s">
        <x:v>81</x:v>
      </x:c>
      <x:c r="I22" s="16" t="s">
        <x:v>82</x:v>
      </x:c>
      <x:c r="J22" s="18" t="n">
        <x:v>18.519834411</x:v>
      </x:c>
      <x:c r="K22" s="17" t="n">
        <x:v>11355</x:v>
      </x:c>
      <x:c r="L22" s="17" t="n">
        <x:v>289</x:v>
      </x:c>
      <x:c r="M22" s="17" t="n">
        <x:v>1469</x:v>
      </x:c>
      <x:c r="N22" s="17" t="n">
        <x:v>0</x:v>
      </x:c>
      <x:c r="O22" s="19" t="n">
        <x:v>0.608257454646556</x:v>
      </x:c>
      <x:c r="P22" s="19" t="n">
        <x:v>0.507292150487692</x:v>
      </x:c>
      <x:c r="Q22" s="19" t="n">
        <x:v>0</x:v>
      </x:c>
      <x:c r="R22" s="20" t="n">
        <x:v>-160</x:v>
      </x:c>
      <x:c r="S22" s="20" t="n">
        <x:v>-160</x:v>
      </x:c>
      <x:c r="T22" s="20" t="n">
        <x:v>0.0200875790644331</x:v>
      </x:c>
      <x:c r="U22" s="16" t="n">
        <x:v>0</x:v>
      </x:c>
      <x:c r="V22" s="16" t="n">
        <x:v>0</x:v>
      </x:c>
      <x:c r="W22" s="16" t="n">
        <x:v>0</x:v>
      </x:c>
      <x:c r="X22" s="16" t="n">
        <x:v>1</x:v>
      </x:c>
      <x:c r="Y22" s="16" t="n">
        <x:v>0</x:v>
      </x:c>
      <x:c r="Z22" s="16" t="n">
        <x:v>0</x:v>
      </x:c>
      <x:c r="AA22" s="16" t="n">
        <x:v>0</x:v>
      </x:c>
      <x:c r="AB22" s="16" t="n">
        <x:v>0</x:v>
      </x:c>
      <x:c r="AC22" s="16" t="n">
        <x:v>0</x:v>
      </x:c>
      <x:c r="AD22" s="16" t="n">
        <x:v>0</x:v>
      </x:c>
      <x:c r="AE22" s="16" t="n">
        <x:v>0</x:v>
      </x:c>
      <x:c r="AF22" s="21" t="n">
        <x:v>0</x:v>
      </x:c>
      <x:c r="AG22" s="21" t="n">
        <x:v>0</x:v>
      </x:c>
      <x:c r="AH22" s="21" t="n">
        <x:v>1</x:v>
      </x:c>
      <x:c r="AI22" s="21" t="n">
        <x:v>0</x:v>
      </x:c>
      <x:c r="AJ22" s="21" t="n">
        <x:v>0</x:v>
      </x:c>
      <x:c r="AK22" s="16" t="s">
        <x:v>83</x:v>
      </x:c>
      <x:c r="AL22" s="22" t="s">
        <x:v>141</x:v>
      </x:c>
      <x:c r="AM22" s="52" t="str">
        <x:v>Changed gold_ineffective_cuts 0→1: 1,469 cuts generated and the dual bound was unchanged (-160→-160), with no presolve solve; this meets the worksheet definition.</x:v>
      </x:c>
    </x:row>
    <x:row r="23" ht="60" hidden="0" customHeight="1">
      <x:c r="A23" s="16" t="n">
        <x:v>108</x:v>
      </x:c>
      <x:c r="B23" s="16" t="s">
        <x:v>142</x:v>
      </x:c>
      <x:c r="C23" s="16" t="s">
        <x:v>139</x:v>
      </x:c>
      <x:c r="D23" s="16" t="s">
        <x:v>95</x:v>
      </x:c>
      <x:c r="E23" s="17" t="n">
        <x:v>30</x:v>
      </x:c>
      <x:c r="F23" s="17" t="n">
        <x:v>27</x:v>
      </x:c>
      <x:c r="G23" s="17" t="n">
        <x:v>532</x:v>
      </x:c>
      <x:c r="H23" s="16" t="s">
        <x:v>81</x:v>
      </x:c>
      <x:c r="I23" s="16" t="s">
        <x:v>82</x:v>
      </x:c>
      <x:c r="J23" s="18" t="n">
        <x:v>151.948282312</x:v>
      </x:c>
      <x:c r="K23" s="17" t="n">
        <x:v>11989707</x:v>
      </x:c>
      <x:c r="L23" s="17" t="n">
        <x:v>38</x:v>
      </x:c>
      <x:c r="M23" s="17" t="n">
        <x:v>45</x:v>
      </x:c>
      <x:c r="N23" s="17" t="n">
        <x:v>0</x:v>
      </x:c>
      <x:c r="O23" s="19" t="n">
        <x:v>0</x:v>
      </x:c>
      <x:c r="P23" s="19" t="n">
        <x:v>0</x:v>
      </x:c>
      <x:c r="Q23" s="19" t="n">
        <x:v>9.42979851428401E-005</x:v>
      </x:c>
      <x:c r="R23" s="20" t="n">
        <x:v>6766.21757610034</x:v>
      </x:c>
      <x:c r="S23" s="20" t="n">
        <x:v>6840.32055251555</x:v>
      </x:c>
      <x:c r="T23" s="20" t="n">
        <x:v>1.26666666666667</x:v>
      </x:c>
      <x:c r="U23" s="16" t="n">
        <x:v>0</x:v>
      </x:c>
      <x:c r="V23" s="16" t="n">
        <x:v>0</x:v>
      </x:c>
      <x:c r="W23" s="16" t="n">
        <x:v>1</x:v>
      </x:c>
      <x:c r="X23" s="16" t="n">
        <x:v>0</x:v>
      </x:c>
      <x:c r="Y23" s="16" t="n">
        <x:v>1</x:v>
      </x:c>
      <x:c r="Z23" s="16" t="n">
        <x:v>1</x:v>
      </x:c>
      <x:c r="AA23" s="16" t="n">
        <x:v>0</x:v>
      </x:c>
      <x:c r="AB23" s="16" t="n">
        <x:v>1</x:v>
      </x:c>
      <x:c r="AC23" s="16" t="n">
        <x:v>0</x:v>
      </x:c>
      <x:c r="AD23" s="16" t="n">
        <x:v>0</x:v>
      </x:c>
      <x:c r="AE23" s="16" t="n">
        <x:v>0</x:v>
      </x:c>
      <x:c r="AF23" s="21" t="n">
        <x:v>0</x:v>
      </x:c>
      <x:c r="AG23" s="21" t="n">
        <x:v>1</x:v>
      </x:c>
      <x:c r="AH23" s="21" t="n">
        <x:v>0</x:v>
      </x:c>
      <x:c r="AI23" s="21" t="n">
        <x:v>0</x:v>
      </x:c>
      <x:c r="AJ23" s="21" t="n">
        <x:v>0</x:v>
      </x:c>
      <x:c r="AK23" s="16" t="s">
        <x:v>83</x:v>
      </x:c>
      <x:c r="AL23" s="22" t="s">
        <x:v>143</x:v>
      </x:c>
      <x:c r="AM23" s="52"/>
    </x:row>
    <x:row r="24" ht="60" hidden="0" customHeight="1">
      <x:c r="A24" s="16" t="n">
        <x:v>120</x:v>
      </x:c>
      <x:c r="B24" s="16" t="s">
        <x:v>144</x:v>
      </x:c>
      <x:c r="C24" s="16" t="s">
        <x:v>139</x:v>
      </x:c>
      <x:c r="D24" s="16" t="s">
        <x:v>145</x:v>
      </x:c>
      <x:c r="E24" s="17" t="n">
        <x:v>1747</x:v>
      </x:c>
      <x:c r="F24" s="17" t="n">
        <x:v>2107</x:v>
      </x:c>
      <x:c r="G24" s="17" t="n">
        <x:v>8088</x:v>
      </x:c>
      <x:c r="H24" s="16" t="s">
        <x:v>81</x:v>
      </x:c>
      <x:c r="I24" s="16" t="s">
        <x:v>82</x:v>
      </x:c>
      <x:c r="J24" s="18" t="n">
        <x:v>17.544737248</x:v>
      </x:c>
      <x:c r="K24" s="17" t="n">
        <x:v>66187</x:v>
      </x:c>
      <x:c r="L24" s="17" t="n">
        <x:v>930</x:v>
      </x:c>
      <x:c r="M24" s="17" t="n">
        <x:v>3349</x:v>
      </x:c>
      <x:c r="N24" s="17" t="n">
        <x:v>0</x:v>
      </x:c>
      <x:c r="O24" s="19" t="n">
        <x:v>0.144819690898683</x:v>
      </x:c>
      <x:c r="P24" s="19" t="n">
        <x:v>0.121025154247746</x:v>
      </x:c>
      <x:c r="Q24" s="19" t="n">
        <x:v>0</x:v>
      </x:c>
      <x:c r="R24" s="20" t="n">
        <x:v>193776.546192626</x:v>
      </x:c>
      <x:c r="S24" s="20" t="n">
        <x:v>211913</x:v>
      </x:c>
      <x:c r="T24" s="20" t="n">
        <x:v>0.532341156267888</x:v>
      </x:c>
      <x:c r="U24" s="16" t="n">
        <x:v>0</x:v>
      </x:c>
      <x:c r="V24" s="16" t="n">
        <x:v>0</x:v>
      </x:c>
      <x:c r="W24" s="16" t="n">
        <x:v>0</x:v>
      </x:c>
      <x:c r="X24" s="16" t="n">
        <x:v>0</x:v>
      </x:c>
      <x:c r="Y24" s="16" t="n">
        <x:v>0</x:v>
      </x:c>
      <x:c r="Z24" s="16" t="n">
        <x:v>0</x:v>
      </x:c>
      <x:c r="AA24" s="16" t="n">
        <x:v>0</x:v>
      </x:c>
      <x:c r="AB24" s="16" t="n">
        <x:v>0</x:v>
      </x:c>
      <x:c r="AC24" s="16" t="n">
        <x:v>0</x:v>
      </x:c>
      <x:c r="AD24" s="16" t="n">
        <x:v>0</x:v>
      </x:c>
      <x:c r="AE24" s="16" t="n">
        <x:v>0</x:v>
      </x:c>
      <x:c r="AF24" s="21" t="n">
        <x:v>0</x:v>
      </x:c>
      <x:c r="AG24" s="21" t="n">
        <x:v>0</x:v>
      </x:c>
      <x:c r="AH24" s="21" t="n">
        <x:v>0</x:v>
      </x:c>
      <x:c r="AI24" s="21" t="n">
        <x:v>0</x:v>
      </x:c>
      <x:c r="AJ24" s="21" t="n">
        <x:v>0</x:v>
      </x:c>
      <x:c r="AK24" s="16" t="s">
        <x:v>83</x:v>
      </x:c>
      <x:c r="AL24" s="22" t="s">
        <x:v>146</x:v>
      </x:c>
      <x:c r="AM24" s="52"/>
    </x:row>
    <x:row r="25" ht="60" hidden="0" customHeight="1">
      <x:c r="A25" s="16" t="n">
        <x:v>122</x:v>
      </x:c>
      <x:c r="B25" s="16" t="s">
        <x:v>147</x:v>
      </x:c>
      <x:c r="C25" s="16" t="s">
        <x:v>139</x:v>
      </x:c>
      <x:c r="D25" s="16" t="s">
        <x:v>148</x:v>
      </x:c>
      <x:c r="E25" s="17" t="n">
        <x:v>2550</x:v>
      </x:c>
      <x:c r="F25" s="17" t="n">
        <x:v>1062</x:v>
      </x:c>
      <x:c r="G25" s="17" t="n">
        <x:v>9900</x:v>
      </x:c>
      <x:c r="H25" s="16" t="s">
        <x:v>81</x:v>
      </x:c>
      <x:c r="I25" s="16" t="s">
        <x:v>82</x:v>
      </x:c>
      <x:c r="J25" s="18" t="n">
        <x:v>163.743630906</x:v>
      </x:c>
      <x:c r="K25" s="17" t="n">
        <x:v>1137477</x:v>
      </x:c>
      <x:c r="L25" s="17" t="n">
        <x:v>408</x:v>
      </x:c>
      <x:c r="M25" s="17" t="n">
        <x:v>2139</x:v>
      </x:c>
      <x:c r="N25" s="17" t="n">
        <x:v>0</x:v>
      </x:c>
      <x:c r="O25" s="19" t="n">
        <x:v>0.159607843137255</x:v>
      </x:c>
      <x:c r="P25" s="19" t="n">
        <x:v>0.212806026365348</x:v>
      </x:c>
      <x:c r="Q25" s="19" t="n">
        <x:v>8.15191133634633E-005</x:v>
      </x:c>
      <x:c r="R25" s="20" t="n">
        <x:v>4677.46100707973</x:v>
      </x:c>
      <x:c r="S25" s="20" t="n">
        <x:v>8104.33928758619</x:v>
      </x:c>
      <x:c r="T25" s="20" t="n">
        <x:v>0.16</x:v>
      </x:c>
      <x:c r="U25" s="16" t="n">
        <x:v>0</x:v>
      </x:c>
      <x:c r="V25" s="16" t="n">
        <x:v>0</x:v>
      </x:c>
      <x:c r="W25" s="16" t="n">
        <x:v>1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1</x:v>
      </x:c>
      <x:c r="AC25" s="16" t="n">
        <x:v>0</x:v>
      </x:c>
      <x:c r="AD25" s="16" t="n">
        <x:v>0</x:v>
      </x:c>
      <x:c r="AE25" s="16" t="n">
        <x:v>0</x:v>
      </x:c>
      <x:c r="AF25" s="21" t="n">
        <x:v>0</x:v>
      </x:c>
      <x:c r="AG25" s="21" t="n">
        <x:v>1</x:v>
      </x:c>
      <x:c r="AH25" s="21" t="n">
        <x:v>0</x:v>
      </x:c>
      <x:c r="AI25" s="21" t="n">
        <x:v>0</x:v>
      </x:c>
      <x:c r="AJ25" s="21" t="n">
        <x:v>0</x:v>
      </x:c>
      <x:c r="AK25" s="16" t="s">
        <x:v>77</x:v>
      </x:c>
      <x:c r="AL25" s="22" t="s">
        <x:v>149</x:v>
      </x:c>
      <x:c r="AM25" s="52"/>
    </x:row>
    <x:row r="26" ht="60" hidden="0" customHeight="1">
      <x:c r="A26" s="16" t="n">
        <x:v>129</x:v>
      </x:c>
      <x:c r="B26" s="16" t="s">
        <x:v>150</x:v>
      </x:c>
      <x:c r="C26" s="16" t="s">
        <x:v>139</x:v>
      </x:c>
      <x:c r="D26" s="16" t="s">
        <x:v>151</x:v>
      </x:c>
      <x:c r="E26" s="17" t="n">
        <x:v>345856</x:v>
      </x:c>
      <x:c r="F26" s="17" t="n">
        <x:v>489818</x:v>
      </x:c>
      <x:c r="G26" s="17" t="n">
        <x:v>2053548</x:v>
      </x:c>
      <x:c r="H26" s="16" t="s">
        <x:v>99</x:v>
      </x:c>
      <x:c r="I26" s="16" t="s">
        <x:v>76</x:v>
      </x:c>
      <x:c r="J26" s="18"/>
      <x:c r="K26" s="17" t="n">
        <x:v>0</x:v>
      </x:c>
      <x:c r="L26" s="17" t="n">
        <x:v>0</x:v>
      </x:c>
      <x:c r="M26" s="17" t="n">
        <x:v>0</x:v>
      </x:c>
      <x:c r="N26" s="17" t="n">
        <x:v>0</x:v>
      </x:c>
      <x:c r="O26" s="19" t="n">
        <x:v>0.464357998704663</x:v>
      </x:c>
      <x:c r="P26" s="19" t="n">
        <x:v>0.484038969576455</x:v>
      </x:c>
      <x:c r="Q26" s="19"/>
      <x:c r="R26" s="20"/>
      <x:c r="S26" s="20"/>
      <x:c r="T26" s="20" t="n">
        <x:v>0</x:v>
      </x:c>
      <x:c r="U26" s="16" t="n">
        <x:v>0</x:v>
      </x:c>
      <x:c r="V26" s="16" t="n">
        <x:v>1</x:v>
      </x:c>
      <x:c r="W26" s="16" t="n">
        <x:v>0</x:v>
      </x:c>
      <x:c r="X26" s="16" t="n">
        <x:v>0</x:v>
      </x:c>
      <x:c r="Y26" s="16" t="n">
        <x:v>0</x:v>
      </x:c>
      <x:c r="Z26" s="16" t="n">
        <x:v>0</x:v>
      </x:c>
      <x:c r="AA26" s="16" t="n">
        <x:v>1</x:v>
      </x:c>
      <x:c r="AB26" s="16" t="n">
        <x:v>0</x:v>
      </x:c>
      <x:c r="AC26" s="16" t="n">
        <x:v>0</x:v>
      </x:c>
      <x:c r="AD26" s="16" t="n">
        <x:v>0</x:v>
      </x:c>
      <x:c r="AE26" s="16" t="n">
        <x:v>0</x:v>
      </x:c>
      <x:c r="AF26" s="21" t="n">
        <x:v>1</x:v>
      </x:c>
      <x:c r="AG26" s="21" t="n">
        <x:v>0</x:v>
      </x:c>
      <x:c r="AH26" s="21" t="n">
        <x:v>0</x:v>
      </x:c>
      <x:c r="AI26" s="21" t="n">
        <x:v>0</x:v>
      </x:c>
      <x:c r="AJ26" s="21" t="n">
        <x:v>0</x:v>
      </x:c>
      <x:c r="AK26" s="16" t="s">
        <x:v>77</x:v>
      </x:c>
      <x:c r="AL26" s="22" t="s">
        <x:v>100</x:v>
      </x:c>
      <x:c r="AM26" s="52"/>
    </x:row>
    <x:row r="27" ht="60" hidden="0" customHeight="1">
      <x:c r="A27" s="16" t="n">
        <x:v>131</x:v>
      </x:c>
      <x:c r="B27" s="16" t="s">
        <x:v>152</x:v>
      </x:c>
      <x:c r="C27" s="16" t="s">
        <x:v>139</x:v>
      </x:c>
      <x:c r="D27" s="16" t="s">
        <x:v>153</x:v>
      </x:c>
      <x:c r="E27" s="17" t="n">
        <x:v>180</x:v>
      </x:c>
      <x:c r="F27" s="17" t="n">
        <x:v>57</x:v>
      </x:c>
      <x:c r="G27" s="17" t="n">
        <x:v>545</x:v>
      </x:c>
      <x:c r="H27" s="16" t="s">
        <x:v>81</x:v>
      </x:c>
      <x:c r="I27" s="16" t="s">
        <x:v>82</x:v>
      </x:c>
      <x:c r="J27" s="18" t="n">
        <x:v>1.179824038</x:v>
      </x:c>
      <x:c r="K27" s="17" t="n">
        <x:v>9</x:v>
      </x:c>
      <x:c r="L27" s="17" t="n">
        <x:v>46</x:v>
      </x:c>
      <x:c r="M27" s="17" t="n">
        <x:v>14</x:v>
      </x:c>
      <x:c r="N27" s="17" t="n">
        <x:v>0</x:v>
      </x:c>
      <x:c r="O27" s="19" t="n">
        <x:v>0.116666666666667</x:v>
      </x:c>
      <x:c r="P27" s="19" t="n">
        <x:v>0.0175438596491228</x:v>
      </x:c>
      <x:c r="Q27" s="19" t="n">
        <x:v>0</x:v>
      </x:c>
      <x:c r="R27" s="20" t="n">
        <x:v>-11980000</x:v>
      </x:c>
      <x:c r="S27" s="20" t="n">
        <x:v>-11670000</x:v>
      </x:c>
      <x:c r="T27" s="20" t="n">
        <x:v>0.255555555555556</x:v>
      </x:c>
      <x:c r="U27" s="16" t="n">
        <x:v>0</x:v>
      </x:c>
      <x:c r="V27" s="16" t="n">
        <x:v>0</x:v>
      </x:c>
      <x:c r="W27" s="16" t="n">
        <x:v>0</x:v>
      </x:c>
      <x:c r="X27" s="16" t="n">
        <x:v>0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  <x:c r="AD27" s="16" t="n">
        <x:v>0</x:v>
      </x:c>
      <x:c r="AE27" s="16" t="n">
        <x:v>0</x:v>
      </x:c>
      <x:c r="AF27" s="21" t="n">
        <x:v>0</x:v>
      </x:c>
      <x:c r="AG27" s="21" t="n">
        <x:v>0</x:v>
      </x:c>
      <x:c r="AH27" s="21" t="n">
        <x:v>0</x:v>
      </x:c>
      <x:c r="AI27" s="21" t="n">
        <x:v>0</x:v>
      </x:c>
      <x:c r="AJ27" s="21" t="n">
        <x:v>0</x:v>
      </x:c>
      <x:c r="AK27" s="16" t="s">
        <x:v>83</x:v>
      </x:c>
      <x:c r="AL27" s="22" t="s">
        <x:v>84</x:v>
      </x:c>
      <x:c r="AM27" s="52"/>
    </x:row>
    <x:row r="28" ht="60" hidden="0" customHeight="1">
      <x:c r="A28" s="16" t="n">
        <x:v>147</x:v>
      </x:c>
      <x:c r="B28" s="16" t="s">
        <x:v>154</x:v>
      </x:c>
      <x:c r="C28" s="16" t="s">
        <x:v>139</x:v>
      </x:c>
      <x:c r="D28" s="16" t="s">
        <x:v>121</x:v>
      </x:c>
      <x:c r="E28" s="17" t="n">
        <x:v>13264</x:v>
      </x:c>
      <x:c r="F28" s="17" t="n">
        <x:v>41</x:v>
      </x:c>
      <x:c r="G28" s="17" t="n">
        <x:v>335643</x:v>
      </x:c>
      <x:c r="H28" s="16" t="s">
        <x:v>99</x:v>
      </x:c>
      <x:c r="I28" s="16" t="s">
        <x:v>76</x:v>
      </x:c>
      <x:c r="J28" s="18" t="n">
        <x:v>3600.241944025</x:v>
      </x:c>
      <x:c r="K28" s="17" t="n">
        <x:v>1383661</x:v>
      </x:c>
      <x:c r="L28" s="17" t="n">
        <x:v>42</x:v>
      </x:c>
      <x:c r="M28" s="17" t="n">
        <x:v>1200</x:v>
      </x:c>
      <x:c r="N28" s="17" t="n">
        <x:v>0</x:v>
      </x:c>
      <x:c r="O28" s="19" t="n">
        <x:v>0.0172647768395657</x:v>
      </x:c>
      <x:c r="P28" s="19" t="n">
        <x:v>0.024390243902439</x:v>
      </x:c>
      <x:c r="Q28" s="19"/>
      <x:c r="R28" s="20" t="n">
        <x:v>0</x:v>
      </x:c>
      <x:c r="S28" s="20" t="n">
        <x:v>0</x:v>
      </x:c>
      <x:c r="T28" s="20" t="n">
        <x:v>0.0031664656212303</x:v>
      </x:c>
      <x:c r="U28" s="16" t="n">
        <x:v>0</x:v>
      </x:c>
      <x:c r="V28" s="16" t="n">
        <x:v>1</x:v>
      </x:c>
      <x:c r="W28" s="16" t="n">
        <x:v>1</x:v>
      </x:c>
      <x:c r="X28" s="16" t="n">
        <x:v>1</x:v>
      </x:c>
      <x:c r="Y28" s="16" t="n">
        <x:v>0</x:v>
      </x:c>
      <x:c r="Z28" s="16" t="n">
        <x:v>0</x:v>
      </x:c>
      <x:c r="AA28" s="16" t="n">
        <x:v>1</x:v>
      </x:c>
      <x:c r="AB28" s="16" t="n">
        <x:v>1</x:v>
      </x:c>
      <x:c r="AC28" s="16" t="n">
        <x:v>1</x:v>
      </x:c>
      <x:c r="AD28" s="16" t="n">
        <x:v>0</x:v>
      </x:c>
      <x:c r="AE28" s="16" t="n">
        <x:v>0</x:v>
      </x:c>
      <x:c r="AF28" s="21" t="n">
        <x:v>1</x:v>
      </x:c>
      <x:c r="AG28" s="21" t="n">
        <x:v>1</x:v>
      </x:c>
      <x:c r="AH28" s="21" t="n">
        <x:v>1</x:v>
      </x:c>
      <x:c r="AI28" s="21" t="n">
        <x:v>0</x:v>
      </x:c>
      <x:c r="AJ28" s="21" t="n">
        <x:v>0</x:v>
      </x:c>
      <x:c r="AK28" s="16" t="s">
        <x:v>77</x:v>
      </x:c>
      <x:c r="AL28" s="22" t="s">
        <x:v>155</x:v>
      </x:c>
      <x:c r="AM28" s="52"/>
    </x:row>
    <x:row r="29" ht="60" hidden="0" customHeight="1">
      <x:c r="A29" s="16" t="n">
        <x:v>155</x:v>
      </x:c>
      <x:c r="B29" s="16" t="s">
        <x:v>156</x:v>
      </x:c>
      <x:c r="C29" s="16" t="s">
        <x:v>139</x:v>
      </x:c>
      <x:c r="D29" s="16" t="s">
        <x:v>157</x:v>
      </x:c>
      <x:c r="E29" s="17" t="n">
        <x:v>10399</x:v>
      </x:c>
      <x:c r="F29" s="17" t="n">
        <x:v>14589</x:v>
      </x:c>
      <x:c r="G29" s="17" t="n">
        <x:v>44959</x:v>
      </x:c>
      <x:c r="H29" s="16" t="s">
        <x:v>81</x:v>
      </x:c>
      <x:c r="I29" s="16" t="s">
        <x:v>82</x:v>
      </x:c>
      <x:c r="J29" s="18" t="n">
        <x:v>31.529425492</x:v>
      </x:c>
      <x:c r="K29" s="17" t="n">
        <x:v>7036</x:v>
      </x:c>
      <x:c r="L29" s="17" t="n">
        <x:v>138</x:v>
      </x:c>
      <x:c r="M29" s="17" t="n">
        <x:v>5387</x:v>
      </x:c>
      <x:c r="N29" s="17" t="n">
        <x:v>0</x:v>
      </x:c>
      <x:c r="O29" s="19" t="n">
        <x:v>0.436580440426964</x:v>
      </x:c>
      <x:c r="P29" s="19" t="n">
        <x:v>0.531701967235589</x:v>
      </x:c>
      <x:c r="Q29" s="19" t="n">
        <x:v>0</x:v>
      </x:c>
      <x:c r="R29" s="20" t="n">
        <x:v>124955</x:v>
      </x:c>
      <x:c r="S29" s="20" t="n">
        <x:v>125055</x:v>
      </x:c>
      <x:c r="T29" s="20" t="n">
        <x:v>0.013270506779498</x:v>
      </x:c>
      <x:c r="U29" s="16" t="n">
        <x:v>0</x:v>
      </x:c>
      <x:c r="V29" s="16" t="n">
        <x:v>0</x:v>
      </x:c>
      <x:c r="W29" s="16" t="n">
        <x:v>0</x:v>
      </x:c>
      <x:c r="X29" s="16" t="n">
        <x:v>1</x:v>
      </x:c>
      <x:c r="Y29" s="16" t="n">
        <x:v>0</x:v>
      </x:c>
      <x:c r="Z29" s="16" t="n">
        <x:v>0</x:v>
      </x:c>
      <x:c r="AA29" s="16" t="n">
        <x:v>0</x:v>
      </x:c>
      <x:c r="AB29" s="16" t="n">
        <x:v>0</x:v>
      </x:c>
      <x:c r="AC29" s="16" t="n">
        <x:v>0</x:v>
      </x:c>
      <x:c r="AD29" s="16" t="n">
        <x:v>0</x:v>
      </x:c>
      <x:c r="AE29" s="16" t="n">
        <x:v>0</x:v>
      </x:c>
      <x:c r="AF29" s="21" t="n">
        <x:v>0</x:v>
      </x:c>
      <x:c r="AG29" s="21" t="n">
        <x:v>0</x:v>
      </x:c>
      <x:c r="AH29" s="21" t="n">
        <x:v>1</x:v>
      </x:c>
      <x:c r="AI29" s="21" t="n">
        <x:v>0</x:v>
      </x:c>
      <x:c r="AJ29" s="21" t="n">
        <x:v>0</x:v>
      </x:c>
      <x:c r="AK29" s="16" t="s">
        <x:v>83</x:v>
      </x:c>
      <x:c r="AL29" s="22" t="s">
        <x:v>158</x:v>
      </x:c>
      <x:c r="AM29" s="52" t="str">
        <x:v>Changed gold_ineffective_cuts 0→1: 5,387 cuts generated and the dual bound moved only about 0.08% (124,955→125,055), with no presolve solve; this meets the worksheet definition.</x:v>
      </x:c>
    </x:row>
    <x:row r="30" ht="60" hidden="0" customHeight="1">
      <x:c r="A30" s="16" t="n">
        <x:v>164</x:v>
      </x:c>
      <x:c r="B30" s="16" t="s">
        <x:v>159</x:v>
      </x:c>
      <x:c r="C30" s="16" t="s">
        <x:v>139</x:v>
      </x:c>
      <x:c r="D30" s="16" t="s">
        <x:v>160</x:v>
      </x:c>
      <x:c r="E30" s="17" t="n">
        <x:v>1166</x:v>
      </x:c>
      <x:c r="F30" s="17" t="n">
        <x:v>2295</x:v>
      </x:c>
      <x:c r="G30" s="17" t="n">
        <x:v>29386</x:v>
      </x:c>
      <x:c r="H30" s="16" t="s">
        <x:v>99</x:v>
      </x:c>
      <x:c r="I30" s="16" t="s">
        <x:v>76</x:v>
      </x:c>
      <x:c r="J30" s="18"/>
      <x:c r="K30" s="17" t="n">
        <x:v>0</x:v>
      </x:c>
      <x:c r="L30" s="17" t="n">
        <x:v>0</x:v>
      </x:c>
      <x:c r="M30" s="17" t="n">
        <x:v>0</x:v>
      </x:c>
      <x:c r="N30" s="17" t="n">
        <x:v>0</x:v>
      </x:c>
      <x:c r="O30" s="19" t="n">
        <x:v>0.135506003430532</x:v>
      </x:c>
      <x:c r="P30" s="19" t="n">
        <x:v>0.343355119825708</x:v>
      </x:c>
      <x:c r="Q30" s="19"/>
      <x:c r="R30" s="20"/>
      <x:c r="S30" s="20"/>
      <x:c r="T30" s="20" t="n">
        <x:v>0</x:v>
      </x:c>
      <x:c r="U30" s="16" t="n">
        <x:v>0</x:v>
      </x:c>
      <x:c r="V30" s="16" t="n">
        <x:v>1</x:v>
      </x:c>
      <x:c r="W30" s="16" t="n">
        <x:v>0</x:v>
      </x:c>
      <x:c r="X30" s="16" t="n">
        <x:v>0</x:v>
      </x:c>
      <x:c r="Y30" s="16" t="n">
        <x:v>0</x:v>
      </x:c>
      <x:c r="Z30" s="16" t="n">
        <x:v>0</x:v>
      </x:c>
      <x:c r="AA30" s="16" t="n">
        <x:v>1</x:v>
      </x:c>
      <x:c r="AB30" s="16" t="n">
        <x:v>0</x:v>
      </x:c>
      <x:c r="AC30" s="16" t="n">
        <x:v>0</x:v>
      </x:c>
      <x:c r="AD30" s="16" t="n">
        <x:v>0</x:v>
      </x:c>
      <x:c r="AE30" s="16" t="n">
        <x:v>0</x:v>
      </x:c>
      <x:c r="AF30" s="21" t="n">
        <x:v>1</x:v>
      </x:c>
      <x:c r="AG30" s="21" t="n">
        <x:v>0</x:v>
      </x:c>
      <x:c r="AH30" s="21" t="n">
        <x:v>0</x:v>
      </x:c>
      <x:c r="AI30" s="21" t="n">
        <x:v>0</x:v>
      </x:c>
      <x:c r="AJ30" s="21" t="n">
        <x:v>0</x:v>
      </x:c>
      <x:c r="AK30" s="16" t="s">
        <x:v>77</x:v>
      </x:c>
      <x:c r="AL30" s="22" t="s">
        <x:v>100</x:v>
      </x:c>
      <x:c r="AM30" s="52"/>
    </x:row>
    <x:row r="31" ht="60" hidden="0" customHeight="1">
      <x:c r="A31" s="16" t="n">
        <x:v>165</x:v>
      </x:c>
      <x:c r="B31" s="16" t="s">
        <x:v>161</x:v>
      </x:c>
      <x:c r="C31" s="16" t="s">
        <x:v>139</x:v>
      </x:c>
      <x:c r="D31" s="16" t="s">
        <x:v>162</x:v>
      </x:c>
      <x:c r="E31" s="17" t="n">
        <x:v>328575</x:v>
      </x:c>
      <x:c r="F31" s="17" t="n">
        <x:v>295989</x:v>
      </x:c>
      <x:c r="G31" s="17" t="n">
        <x:v>1770507</x:v>
      </x:c>
      <x:c r="H31" s="16" t="s">
        <x:v>75</x:v>
      </x:c>
      <x:c r="I31" s="16" t="s">
        <x:v>76</x:v>
      </x:c>
      <x:c r="J31" s="18" t="n">
        <x:v>3613.467376728</x:v>
      </x:c>
      <x:c r="K31" s="17" t="n">
        <x:v>963</x:v>
      </x:c>
      <x:c r="L31" s="17" t="n">
        <x:v>57997</x:v>
      </x:c>
      <x:c r="M31" s="17" t="n">
        <x:v>21394</x:v>
      </x:c>
      <x:c r="N31" s="17" t="n">
        <x:v>0</x:v>
      </x:c>
      <x:c r="O31" s="19" t="n">
        <x:v>0.0572898120672601</x:v>
      </x:c>
      <x:c r="P31" s="19" t="n">
        <x:v>0.547121683576079</x:v>
      </x:c>
      <x:c r="Q31" s="19" t="n">
        <x:v>0.0820225526107936</x:v>
      </x:c>
      <x:c r="R31" s="20" t="n">
        <x:v>2290.8000000001</x:v>
      </x:c>
      <x:c r="S31" s="20" t="n">
        <x:v>2982.23333333343</x:v>
      </x:c>
      <x:c r="T31" s="20" t="n">
        <x:v>0.176510690101195</x:v>
      </x:c>
      <x:c r="U31" s="16" t="n">
        <x:v>0</x:v>
      </x:c>
      <x:c r="V31" s="16" t="n">
        <x:v>1</x:v>
      </x:c>
      <x:c r="W31" s="16" t="n">
        <x:v>0</x:v>
      </x:c>
      <x:c r="X31" s="16" t="n">
        <x:v>0</x:v>
      </x:c>
      <x:c r="Y31" s="16" t="n">
        <x:v>0</x:v>
      </x:c>
      <x:c r="Z31" s="16" t="n">
        <x:v>0</x:v>
      </x:c>
      <x:c r="AA31" s="16" t="n">
        <x:v>1</x:v>
      </x:c>
      <x:c r="AB31" s="16" t="n">
        <x:v>0</x:v>
      </x:c>
      <x:c r="AC31" s="16" t="n">
        <x:v>0</x:v>
      </x:c>
      <x:c r="AD31" s="16" t="n">
        <x:v>0</x:v>
      </x:c>
      <x:c r="AE31" s="16" t="n">
        <x:v>0</x:v>
      </x:c>
      <x:c r="AF31" s="21" t="n">
        <x:v>1</x:v>
      </x:c>
      <x:c r="AG31" s="21" t="n">
        <x:v>0</x:v>
      </x:c>
      <x:c r="AH31" s="21" t="n">
        <x:v>0</x:v>
      </x:c>
      <x:c r="AI31" s="21" t="n">
        <x:v>0</x:v>
      </x:c>
      <x:c r="AJ31" s="21" t="n">
        <x:v>0</x:v>
      </x:c>
      <x:c r="AK31" s="16" t="s">
        <x:v>115</x:v>
      </x:c>
      <x:c r="AL31" s="22" t="s">
        <x:v>163</x:v>
      </x:c>
      <x:c r="AM31" s="52"/>
    </x:row>
    <x:row r="32" ht="60" hidden="0" customHeight="1">
      <x:c r="A32" s="16" t="n">
        <x:v>182</x:v>
      </x:c>
      <x:c r="B32" s="16" t="s">
        <x:v>164</x:v>
      </x:c>
      <x:c r="C32" s="16" t="s">
        <x:v>165</x:v>
      </x:c>
      <x:c r="D32" s="16" t="s">
        <x:v>166</x:v>
      </x:c>
      <x:c r="E32" s="17" t="n">
        <x:v>16</x:v>
      </x:c>
      <x:c r="F32" s="17" t="n">
        <x:v>41</x:v>
      </x:c>
      <x:c r="G32" s="17" t="n">
        <x:v>121</x:v>
      </x:c>
      <x:c r="H32" s="16" t="s">
        <x:v>99</x:v>
      </x:c>
      <x:c r="I32" s="16" t="s">
        <x:v>82</x:v>
      </x:c>
      <x:c r="J32" s="18" t="n">
        <x:v>1.220350475</x:v>
      </x:c>
      <x:c r="K32" s="17" t="n">
        <x:v>39</x:v>
      </x:c>
      <x:c r="L32" s="17" t="n">
        <x:v>37741</x:v>
      </x:c>
      <x:c r="M32" s="17" t="n">
        <x:v>18</x:v>
      </x:c>
      <x:c r="N32" s="17" t="n">
        <x:v>0</x:v>
      </x:c>
      <x:c r="O32" s="19" t="n">
        <x:v>0.0625</x:v>
      </x:c>
      <x:c r="P32" s="19" t="n">
        <x:v>0.51219512195122</x:v>
      </x:c>
      <x:c r="Q32" s="19"/>
      <x:c r="R32" s="20" t="n">
        <x:v>0</x:v>
      </x:c>
      <x:c r="S32" s="20" t="n">
        <x:v>0</x:v>
      </x:c>
      <x:c r="T32" s="20" t="n">
        <x:v>2358.8125</x:v>
      </x:c>
      <x:c r="U32" s="16" t="n">
        <x:v>0</x:v>
      </x:c>
      <x:c r="V32" s="16" t="n">
        <x:v>1</x:v>
      </x:c>
      <x:c r="W32" s="16" t="n">
        <x:v>0</x:v>
      </x:c>
      <x:c r="X32" s="16" t="n">
        <x:v>0</x:v>
      </x:c>
      <x:c r="Y32" s="16" t="n">
        <x:v>1</x:v>
      </x:c>
      <x:c r="Z32" s="16" t="n">
        <x:v>0</x:v>
      </x:c>
      <x:c r="AA32" s="16" t="n">
        <x:v>1</x:v>
      </x:c>
      <x:c r="AB32" s="16" t="n">
        <x:v>0</x:v>
      </x:c>
      <x:c r="AC32" s="16" t="n">
        <x:v>0</x:v>
      </x:c>
      <x:c r="AD32" s="16" t="n">
        <x:v>1</x:v>
      </x:c>
      <x:c r="AE32" s="16" t="n">
        <x:v>0</x:v>
      </x:c>
      <x:c r="AF32" s="21" t="n">
        <x:v>1</x:v>
      </x:c>
      <x:c r="AG32" s="21" t="n">
        <x:v>0</x:v>
      </x:c>
      <x:c r="AH32" s="21" t="n">
        <x:v>0</x:v>
      </x:c>
      <x:c r="AI32" s="21" t="n">
        <x:v>1</x:v>
      </x:c>
      <x:c r="AJ32" s="21" t="n">
        <x:v>0</x:v>
      </x:c>
      <x:c r="AK32" s="16" t="s">
        <x:v>77</x:v>
      </x:c>
      <x:c r="AL32" s="22" t="s">
        <x:v>167</x:v>
      </x:c>
      <x:c r="AM32" s="52"/>
    </x:row>
  </x:sheetData>
  <x:mergeCells>
    <x:mergeCell ref="A1:D1"/>
    <x:mergeCell ref="E1:U1"/>
    <x:mergeCell ref="V1:Z1"/>
    <x:mergeCell ref="AA1:AE1"/>
    <x:mergeCell ref="AF1:AJ1"/>
    <x:mergeCell ref="AK1:AM1"/>
  </x:mergeCells>
  <x:conditionalFormatting sqref="AF3:AF32">
    <x:cfRule type="expression" dxfId="0" priority="2" aboveAverage="0" percent="0" bottom="0" rank="0" equalAverage="0">
      <x:formula>AF3&lt;&gt;V3</x:formula>
    </x:cfRule>
  </x:conditionalFormatting>
  <x:conditionalFormatting sqref="AG3:AG32">
    <x:cfRule type="expression" dxfId="0" priority="3" aboveAverage="0" percent="0" bottom="0" rank="0" equalAverage="0">
      <x:formula>AG3&lt;&gt;W3</x:formula>
    </x:cfRule>
  </x:conditionalFormatting>
  <x:conditionalFormatting sqref="AH3:AH32">
    <x:cfRule type="expression" dxfId="0" priority="4" aboveAverage="0" percent="0" bottom="0" rank="0" equalAverage="0">
      <x:formula>AH3&lt;&gt;X3</x:formula>
    </x:cfRule>
  </x:conditionalFormatting>
  <x:conditionalFormatting sqref="AI3:AI32">
    <x:cfRule type="expression" dxfId="0" priority="5" aboveAverage="0" percent="0" bottom="0" rank="0" equalAverage="0">
      <x:formula>AI3&lt;&gt;Y3</x:formula>
    </x:cfRule>
  </x:conditionalFormatting>
  <x:conditionalFormatting sqref="AJ3:AJ32">
    <x:cfRule type="expression" dxfId="0" priority="6" aboveAverage="0" percent="0" bottom="0" rank="0" equalAverage="0">
      <x:formula>AJ3&lt;&gt;Z3</x:formula>
    </x:cfRule>
  </x:conditionalFormatting>
  <x:dataValidations count="1">
    <x:dataValidation type="list" errorStyle="stop" operator="between" allowBlank="0" showDropDown="0" showInputMessage="0" showErrorMessage="0" errorTitle="Invalid label" error="Use 0 or 1 only." promptTitle="Bottleneck label" prompt="Enter 0 (no) or 1 (yes)." sqref="AF3:AJ32">
      <x:formula1>"0,1"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8f15b4b77d643e8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0" hidden="0" customWidth="1"/>
    <x:col min="2" max="3" width="14" hidden="0" customWidth="1"/>
    <x:col min="4" max="4" width="16" hidden="0" customWidth="1"/>
  </x:cols>
  <x:sheetData>
    <x:row r="1" ht="17.350000381469727" hidden="0">
      <x:c r="A1" s="23" t="s">
        <x:v>168</x:v>
      </x:c>
    </x:row>
    <x:row r="3" ht="15" hidden="0">
      <x:c r="A3" s="24" t="s">
        <x:v>169</x:v>
      </x:c>
      <x:c r="B3" s="24" t="s">
        <x:v>170</x:v>
      </x:c>
      <x:c r="C3" s="24" t="s">
        <x:v>171</x:v>
      </x:c>
      <x:c r="D3" s="24" t="s">
        <x:v>172</x:v>
      </x:c>
    </x:row>
    <x:row r="4" ht="15" hidden="0">
      <x:c r="A4" t="s">
        <x:v>173</x:v>
      </x:c>
      <x:c r="B4" t="n">
        <x:f aca="0">SUM(Labels!AF3:AF32)</x:f>
        <x:v>10</x:v>
      </x:c>
      <x:c r="C4" t="n">
        <x:f aca="0">SUM(Labels!V3:V32)</x:f>
        <x:v>10</x:v>
      </x:c>
      <x:c r="D4" t="n">
        <x:f aca="0">SUMPRODUCT(--(Labels!AF3:AF32&lt;&gt;Labels!V3:V32))</x:f>
        <x:v>0</x:v>
      </x:c>
    </x:row>
    <x:row r="5" ht="15" hidden="0">
      <x:c r="A5" t="s">
        <x:v>174</x:v>
      </x:c>
      <x:c r="B5" t="n">
        <x:f aca="0">SUM(Labels!AG3:AG32)</x:f>
        <x:v>11</x:v>
      </x:c>
      <x:c r="C5" t="n">
        <x:f aca="0">SUM(Labels!W3:W32)</x:f>
        <x:v>11</x:v>
      </x:c>
      <x:c r="D5" t="n">
        <x:f aca="0">SUMPRODUCT(--(Labels!AG3:AG32&lt;&gt;Labels!W3:W32))</x:f>
        <x:v>0</x:v>
      </x:c>
    </x:row>
    <x:row r="6" ht="15" hidden="0">
      <x:c r="A6" t="s">
        <x:v>175</x:v>
      </x:c>
      <x:c r="B6" t="n">
        <x:f aca="0">SUM(Labels!AH3:AH32)</x:f>
        <x:v>9</x:v>
      </x:c>
      <x:c r="C6" t="n">
        <x:f aca="0">SUM(Labels!X3:X32)</x:f>
        <x:v>9</x:v>
      </x:c>
      <x:c r="D6" t="n">
        <x:f aca="0">SUMPRODUCT(--(Labels!AH3:AH32&lt;&gt;Labels!X3:X32))</x:f>
        <x:v>0</x:v>
      </x:c>
    </x:row>
    <x:row r="7" ht="15" hidden="0">
      <x:c r="A7" t="s">
        <x:v>176</x:v>
      </x:c>
      <x:c r="B7" t="n">
        <x:f aca="0">SUM(Labels!AI3:AI32)</x:f>
        <x:v>5</x:v>
      </x:c>
      <x:c r="C7" t="n">
        <x:f aca="0">SUM(Labels!Y3:Y32)</x:f>
        <x:v>7</x:v>
      </x:c>
      <x:c r="D7" t="n">
        <x:f aca="0">SUMPRODUCT(--(Labels!AI3:AI32&lt;&gt;Labels!Y3:Y32))</x:f>
        <x:v>2</x:v>
      </x:c>
    </x:row>
    <x:row r="8" ht="15" hidden="0">
      <x:c r="A8" t="s">
        <x:v>177</x:v>
      </x:c>
      <x:c r="B8" t="n">
        <x:f aca="0">SUM(Labels!AJ3:AJ32)</x:f>
        <x:v>4</x:v>
      </x:c>
      <x:c r="C8" t="n">
        <x:f aca="0">SUM(Labels!Z3:Z32)</x:f>
        <x:v>8</x:v>
      </x:c>
      <x:c r="D8" t="n">
        <x:f aca="0">SUMPRODUCT(--(Labels!AJ3:AJ32&lt;&gt;Labels!Z3:Z32))</x:f>
        <x:v>4</x:v>
      </x:c>
    </x:row>
    <x:row r="11" ht="15" hidden="0">
      <x:c r="A11" s="24" t="s">
        <x:v>178</x:v>
      </x:c>
    </x:row>
    <x:row r="12" ht="15" hidden="0">
      <x:c r="A12" t="s">
        <x:v>179</x:v>
      </x:c>
      <x:c r="B12" t="n">
        <x:f aca="0">SUMPRODUCT(--(MMULT(--(Labels!AF3:AJ32),{1;1;1;1;1})=0))</x:f>
        <x:v>6</x:v>
      </x:c>
    </x:row>
    <x:row r="13" ht="15" hidden="0">
      <x:c r="A13" t="s">
        <x:v>180</x:v>
      </x:c>
      <x:c r="B13" t="n">
        <x:f aca="0">SUMPRODUCT(--(MMULT(--(Labels!AF3:AJ32),{1;1;1;1;1})=1))</x:f>
        <x:v>14</x:v>
      </x:c>
    </x:row>
    <x:row r="14" ht="15" hidden="0">
      <x:c r="A14" t="s">
        <x:v>181</x:v>
      </x:c>
      <x:c r="B14" t="n">
        <x:f aca="0">SUMPRODUCT(--(MMULT(--(Labels!AF3:AJ32),{1;1;1;1;1})&gt;=2))</x:f>
        <x:v>10</x:v>
      </x:c>
    </x:row>
  </x:sheetData>
  <x:pageMargins left="0.7" right="0.7" top="0.75" bottom="0.75" header="0.3" footer="0.3"/>
</x:worksheet>
</file>