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000" windowHeight="17800" tabRatio="5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abels" sheetId="2" state="visible" r:id="rId2"/>
    <sheet xmlns:r="http://schemas.openxmlformats.org/officeDocument/2006/relationships" name="Summary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charset val="1"/>
      <family val="2"/>
      <color theme="1"/>
      <sz val="11"/>
    </font>
    <font>
      <name val="Calibri"/>
      <charset val="1"/>
      <b val="1"/>
      <sz val="16"/>
    </font>
    <font>
      <name val="Calibri"/>
      <charset val="1"/>
      <sz val="11"/>
    </font>
    <font>
      <name val="Calibri"/>
      <charset val="1"/>
      <b val="1"/>
      <sz val="13"/>
    </font>
    <font>
      <name val="Cambria"/>
      <charset val="1"/>
      <b val="1"/>
      <sz val="11"/>
    </font>
    <font>
      <name val="Calibri"/>
      <charset val="1"/>
      <b val="1"/>
      <sz val="11"/>
    </font>
    <font>
      <name val="Arial"/>
      <family val="2"/>
      <sz val="10"/>
    </font>
    <font>
      <name val="Cambria"/>
      <charset val="1"/>
      <b val="1"/>
      <sz val="14"/>
    </font>
  </fonts>
  <fills count="9">
    <fill>
      <patternFill/>
    </fill>
    <fill>
      <patternFill patternType="gray125"/>
    </fill>
    <fill>
      <patternFill patternType="solid">
        <fgColor rgb="FFD9D9D9"/>
        <bgColor rgb="FFE1EBF7"/>
      </patternFill>
    </fill>
    <fill>
      <patternFill patternType="solid">
        <fgColor rgb="FFE1EBF7"/>
        <bgColor rgb="FFEAF6E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D9D9D9"/>
      </patternFill>
    </fill>
    <fill>
      <patternFill patternType="solid">
        <fgColor rgb="FFF2F2F2"/>
        <bgColor rgb="FFEAF6EA"/>
      </patternFill>
    </fill>
    <fill>
      <patternFill patternType="solid">
        <fgColor rgb="FFEAF6EA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7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6" borderId="1" applyAlignment="1" pivotButton="0" quotePrefix="0" xfId="0">
      <alignment horizontal="center" wrapText="1"/>
    </xf>
    <xf numFmtId="0" fontId="5" fillId="7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2" fontId="0" fillId="0" borderId="1" applyAlignment="1" pivotButton="0" quotePrefix="0" xfId="0">
      <alignment vertical="top"/>
    </xf>
    <xf numFmtId="1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4" fillId="8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/>
  </cellStyles>
  <dxfs count="1">
    <dxf>
      <fill>
        <patternFill>
          <bgColor rgb="FFFFE699"/>
        </patternFill>
      </fill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6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1EBF7"/>
      <rgbColor rgb="FFC6EFCE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Pre-label assistant</author>
  </authors>
  <commentList>
    <comment ref="AF2" authorId="0" shapeId="0">
      <text>
        <t>Edit this cell to set the final gold label for "weak_root_lp". Pre-filled from sug_weak_root_lp. Cells highlighted yellow disagree with the heuristic rule.</t>
      </text>
    </comment>
    <comment ref="AG2" authorId="0" shapeId="0">
      <text>
        <t>Edit this cell to set the final gold label for "excessive_branching". Pre-filled from sug_excessive_branching. Cells highlighted yellow disagree with the heuristic rule.</t>
      </text>
    </comment>
    <comment ref="AH2" authorId="0" shapeId="0">
      <text>
        <t>Edit this cell to set the final gold label for "ineffective_cuts". Pre-filled from sug_ineffective_cuts. Cells highlighted yellow disagree with the heuristic rule.</t>
      </text>
    </comment>
    <comment ref="AI2" authorId="0" shapeId="0">
      <text>
        <t>Edit this cell to set the final gold label for "degeneracy". Pre-filled from sug_degeneracy. Cells highlighted yellow disagree with the heuristic rule.</t>
      </text>
    </comment>
    <comment ref="AJ2" authorId="0" shapeId="0">
      <text>
        <t>Edit this cell to set the final gold label for "presolve_weakness". Pre-filled from sug_presolve_weakness. Cells highlighted yellow disagree with the heuristic rule.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topLeftCell="A17" zoomScaleNormal="100" workbookViewId="0">
      <selection activeCell="A1" sqref="A1"/>
    </sheetView>
  </sheetViews>
  <sheetFormatPr baseColWidth="10" defaultColWidth="8.6640625" defaultRowHeight="15"/>
  <cols>
    <col width="110" customWidth="1" min="1" max="1"/>
  </cols>
  <sheetData>
    <row r="1" ht="21" customHeight="1">
      <c r="A1" s="7" t="inlineStr">
        <is>
          <t>Optimization Log Copilot - Gold Label Worksheet</t>
        </is>
      </c>
    </row>
    <row r="2">
      <c r="A2" s="8" t="n"/>
    </row>
    <row r="3" ht="17" customHeight="1">
      <c r="A3" s="9" t="inlineStr">
        <is>
          <t>Purpose</t>
        </is>
      </c>
    </row>
    <row r="4">
      <c r="A4" s="8" t="inlineStr">
        <is>
          <t>This sheet contains 30 stratified solver runs from the Rose dataset, pre-labeled</t>
        </is>
      </c>
    </row>
    <row r="5">
      <c r="A5" s="8" t="inlineStr">
        <is>
          <t>with suggested bottleneck classifications. Your job is to review the suggestions in</t>
        </is>
      </c>
    </row>
    <row r="6">
      <c r="A6" s="8" t="inlineStr">
        <is>
          <t>the "Labels" sheet and either accept them or override them in the gold_&lt;label&gt; columns.</t>
        </is>
      </c>
    </row>
    <row r="7">
      <c r="A7" s="8" t="n"/>
    </row>
    <row r="8" ht="17" customHeight="1">
      <c r="A8" s="9" t="inlineStr">
        <is>
          <t>How to use</t>
        </is>
      </c>
    </row>
    <row r="9">
      <c r="A9" s="8" t="inlineStr">
        <is>
          <t>1. Open the "Labels" sheet.</t>
        </is>
      </c>
    </row>
    <row r="10">
      <c r="A10" s="8" t="inlineStr">
        <is>
          <t>2. For each row, read the metric evidence (left columns) and the suggested label (sug_*).</t>
        </is>
      </c>
    </row>
    <row r="11">
      <c r="A11" s="8" t="inlineStr">
        <is>
          <t>3. The gold_&lt;label&gt; columns are pre-filled with the suggestions. Edit them to 0 or 1</t>
        </is>
      </c>
    </row>
    <row r="12">
      <c r="A12" s="8" t="inlineStr">
        <is>
          <t xml:space="preserve">   if you disagree. Cells have data validation; only 0 or 1 is accepted.</t>
        </is>
      </c>
    </row>
    <row r="13">
      <c r="A13" s="8" t="inlineStr">
        <is>
          <t>4. Add a note in the "your_notes" column if you flipped a label or want to record reasoning.</t>
        </is>
      </c>
    </row>
    <row r="14">
      <c r="A14" s="8" t="inlineStr">
        <is>
          <t>5. The "agreement" column at the right shows H/M/N (heuristic / my-suggestion / neither)</t>
        </is>
      </c>
    </row>
    <row r="15">
      <c r="A15" s="8" t="inlineStr">
        <is>
          <t xml:space="preserve">   for each label so you can see at a glance which labels are settled.</t>
        </is>
      </c>
    </row>
    <row r="16">
      <c r="A16" s="8" t="inlineStr">
        <is>
          <t>6. Save the file as gold_labels_filled.xlsx (or any name) and the notebook will load it.</t>
        </is>
      </c>
    </row>
    <row r="17">
      <c r="A17" s="8" t="n"/>
    </row>
    <row r="18" ht="17" customHeight="1">
      <c r="A18" s="9" t="inlineStr">
        <is>
          <t>Label definitions</t>
        </is>
      </c>
    </row>
    <row r="19">
      <c r="A19" s="8" t="inlineStr">
        <is>
          <t>weak_root_lp        : final relative gap &gt;= 5% OR no solution found (and not solved in presolve)</t>
        </is>
      </c>
    </row>
    <row r="20">
      <c r="A20" s="8" t="inlineStr">
        <is>
          <t>excessive_branching : nodes per variable &gt;= 100 AND &gt;= 1000 nodes total</t>
        </is>
      </c>
    </row>
    <row r="21">
      <c r="A21" s="8" t="inlineStr">
        <is>
          <t>ineffective_cuts    : &gt;= 100 cuts generated AND dual bound moved &lt; 1% AND not solved in presolve</t>
        </is>
      </c>
    </row>
    <row r="22">
      <c r="A22" s="8" t="inlineStr">
        <is>
          <t>degeneracy          : LP iterations per variable &gt;= 1.0 AND &gt;= 10 variables</t>
        </is>
      </c>
    </row>
    <row r="23">
      <c r="A23" s="8" t="inlineStr">
        <is>
          <t>presolve_weakness   : &lt; 1% reduction in vars AND constraints AND not solved in presolve</t>
        </is>
      </c>
    </row>
    <row r="24">
      <c r="A24" s="8" t="n"/>
    </row>
    <row r="25" ht="17" customHeight="1">
      <c r="A25" s="9" t="inlineStr">
        <is>
          <t>Confidence flag (sug_confidence column)</t>
        </is>
      </c>
    </row>
    <row r="26">
      <c r="A26" s="8" t="inlineStr">
        <is>
          <t>high : evidence strongly supports the suggestion; usually safe to accept.</t>
        </is>
      </c>
    </row>
    <row r="27">
      <c r="A27" s="8" t="inlineStr">
        <is>
          <t>med  : suggestion is reasonable but the metrics are near a threshold.</t>
        </is>
      </c>
    </row>
    <row r="28">
      <c r="A28" s="8" t="inlineStr">
        <is>
          <t>low  : borderline case; please give it a careful look.</t>
        </is>
      </c>
    </row>
    <row r="29">
      <c r="A29" s="8" t="n"/>
    </row>
    <row r="30" ht="17" customHeight="1">
      <c r="A30" s="9" t="inlineStr">
        <is>
          <t>Source data</t>
        </is>
      </c>
    </row>
    <row r="31">
      <c r="A31" s="8" t="inlineStr">
        <is>
          <t>Built from rose_logs_parsed_v2_slim.csv (188 runs).</t>
        </is>
      </c>
    </row>
    <row r="32">
      <c r="A32" s="8" t="inlineStr">
        <is>
          <t>30-run sample is stratified to give 7-11 positives per label after suggested overrides.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tabSelected="1" zoomScaleNormal="100" workbookViewId="0">
      <pane xSplit="3" ySplit="2" topLeftCell="AE3" activePane="bottomRight" state="frozen"/>
      <selection pane="topRight" activeCell="D1" sqref="D1"/>
      <selection pane="bottomLeft" activeCell="A3" sqref="A3"/>
      <selection pane="bottomRight" activeCell="AH6" sqref="AH6"/>
    </sheetView>
  </sheetViews>
  <sheetFormatPr baseColWidth="10" defaultColWidth="8.6640625" defaultRowHeight="15"/>
  <cols>
    <col width="6" customWidth="1" min="1" max="1"/>
    <col width="36" customWidth="1" min="2" max="2"/>
    <col width="16" customWidth="1" min="3" max="3"/>
    <col width="22" customWidth="1" min="4" max="4"/>
    <col width="12" customWidth="1" min="5" max="8"/>
    <col width="14" customWidth="1" min="9" max="9"/>
    <col width="11" customWidth="1" min="10" max="10"/>
    <col width="14" customWidth="1" min="11" max="12"/>
    <col width="12" customWidth="1" min="13" max="16"/>
    <col width="11" customWidth="1" min="17" max="17"/>
    <col width="12" customWidth="1" min="18" max="19"/>
    <col width="11" customWidth="1" min="20" max="20"/>
    <col width="8" customWidth="1" min="21" max="21"/>
    <col width="11" customWidth="1" min="22" max="36"/>
    <col width="8" customWidth="1" min="37" max="37"/>
    <col width="60" customWidth="1" min="38" max="38"/>
    <col width="30" customWidth="1" min="39" max="39"/>
  </cols>
  <sheetData>
    <row r="1">
      <c r="A1" s="6" t="inlineStr">
        <is>
          <t>IDENTITY</t>
        </is>
      </c>
      <c r="E1" s="5" t="inlineStr">
        <is>
          <t>METRIC EVIDENCE (read-only)</t>
        </is>
      </c>
      <c r="V1" s="4" t="inlineStr">
        <is>
          <t>HEURISTIC LABELS</t>
        </is>
      </c>
      <c r="AA1" s="3" t="inlineStr">
        <is>
          <t>PRE-LABEL SUGGESTIONS</t>
        </is>
      </c>
      <c r="AF1" s="2" t="inlineStr">
        <is>
          <t>GOLD LABELS - EDIT THESE</t>
        </is>
      </c>
      <c r="AK1" s="1" t="inlineStr">
        <is>
          <t>NOTES</t>
        </is>
      </c>
    </row>
    <row r="2" ht="48" customHeight="1">
      <c r="A2" s="10" t="inlineStr">
        <is>
          <t>idx</t>
        </is>
      </c>
      <c r="B2" s="10" t="inlineStr">
        <is>
          <t>run_id</t>
        </is>
      </c>
      <c r="C2" s="10" t="inlineStr">
        <is>
          <t>config_name</t>
        </is>
      </c>
      <c r="D2" s="10" t="inlineStr">
        <is>
          <t>problem_name</t>
        </is>
      </c>
      <c r="E2" s="11" t="inlineStr">
        <is>
          <t>num_variables</t>
        </is>
      </c>
      <c r="F2" s="11" t="inlineStr">
        <is>
          <t>num_constraints</t>
        </is>
      </c>
      <c r="G2" s="11" t="inlineStr">
        <is>
          <t>num_nonzeros</t>
        </is>
      </c>
      <c r="H2" s="11" t="inlineStr">
        <is>
          <t>solution_status</t>
        </is>
      </c>
      <c r="I2" s="11" t="inlineStr">
        <is>
          <t>termination_reason</t>
        </is>
      </c>
      <c r="J2" s="11" t="inlineStr">
        <is>
          <t>total_time_s</t>
        </is>
      </c>
      <c r="K2" s="11" t="inlineStr">
        <is>
          <t>num_nodes_total</t>
        </is>
      </c>
      <c r="L2" s="11" t="inlineStr">
        <is>
          <t>num_lp_iterations</t>
        </is>
      </c>
      <c r="M2" s="11" t="inlineStr">
        <is>
          <t>num_cuts_generated</t>
        </is>
      </c>
      <c r="N2" s="11" t="inlineStr">
        <is>
          <t>num_cuts_applied</t>
        </is>
      </c>
      <c r="O2" s="11" t="inlineStr">
        <is>
          <t>presolve_var_reduction</t>
        </is>
      </c>
      <c r="P2" s="11" t="inlineStr">
        <is>
          <t>presolve_con_reduction</t>
        </is>
      </c>
      <c r="Q2" s="11" t="inlineStr">
        <is>
          <t>final_rel_gap</t>
        </is>
      </c>
      <c r="R2" s="11" t="inlineStr">
        <is>
          <t>first_dual</t>
        </is>
      </c>
      <c r="S2" s="11" t="inlineStr">
        <is>
          <t>final_dual</t>
        </is>
      </c>
      <c r="T2" s="11" t="inlineStr">
        <is>
          <t>lp_iter_per_var</t>
        </is>
      </c>
      <c r="U2" s="11" t="inlineStr">
        <is>
          <t>solved_in_presolve</t>
        </is>
      </c>
      <c r="V2" s="12" t="inlineStr">
        <is>
          <t>h_weak_root_lp</t>
        </is>
      </c>
      <c r="W2" s="12" t="inlineStr">
        <is>
          <t>h_excessive_branching</t>
        </is>
      </c>
      <c r="X2" s="12" t="inlineStr">
        <is>
          <t>h_ineffective_cuts</t>
        </is>
      </c>
      <c r="Y2" s="12" t="inlineStr">
        <is>
          <t>h_degeneracy</t>
        </is>
      </c>
      <c r="Z2" s="12" t="inlineStr">
        <is>
          <t>h_presolve_weakness</t>
        </is>
      </c>
      <c r="AA2" s="13" t="inlineStr">
        <is>
          <t>sug_weak_root_lp</t>
        </is>
      </c>
      <c r="AB2" s="13" t="inlineStr">
        <is>
          <t>sug_excessive_branching</t>
        </is>
      </c>
      <c r="AC2" s="13" t="inlineStr">
        <is>
          <t>sug_ineffective_cuts</t>
        </is>
      </c>
      <c r="AD2" s="13" t="inlineStr">
        <is>
          <t>sug_degeneracy</t>
        </is>
      </c>
      <c r="AE2" s="13" t="inlineStr">
        <is>
          <t>sug_presolve_weakness</t>
        </is>
      </c>
      <c r="AF2" s="14" t="inlineStr">
        <is>
          <t>gold_weak_root_lp</t>
        </is>
      </c>
      <c r="AG2" s="14" t="inlineStr">
        <is>
          <t>gold_excessive_branching</t>
        </is>
      </c>
      <c r="AH2" s="14" t="inlineStr">
        <is>
          <t>gold_ineffective_cuts</t>
        </is>
      </c>
      <c r="AI2" s="14" t="inlineStr">
        <is>
          <t>gold_degeneracy</t>
        </is>
      </c>
      <c r="AJ2" s="14" t="inlineStr">
        <is>
          <t>gold_presolve_weakness</t>
        </is>
      </c>
      <c r="AK2" s="15" t="inlineStr">
        <is>
          <t>sug_confidence</t>
        </is>
      </c>
      <c r="AL2" s="15" t="inlineStr">
        <is>
          <t>sug_rationale</t>
        </is>
      </c>
      <c r="AM2" s="15" t="inlineStr">
        <is>
          <t>your_notes</t>
        </is>
      </c>
    </row>
    <row r="3" ht="60" customHeight="1">
      <c r="A3" s="16" t="n">
        <v>1</v>
      </c>
      <c r="B3" s="16" t="inlineStr">
        <is>
          <t>branching_heavy::50v-10</t>
        </is>
      </c>
      <c r="C3" s="16" t="inlineStr">
        <is>
          <t>branching_heavy</t>
        </is>
      </c>
      <c r="D3" s="16" t="inlineStr">
        <is>
          <t>50v-10</t>
        </is>
      </c>
      <c r="E3" s="17" t="n">
        <v>2013</v>
      </c>
      <c r="F3" s="17" t="n">
        <v>233</v>
      </c>
      <c r="G3" s="17" t="n">
        <v>2745</v>
      </c>
      <c r="H3" s="16" t="inlineStr">
        <is>
          <t>feasible</t>
        </is>
      </c>
      <c r="I3" s="16" t="inlineStr">
        <is>
          <t>timeout</t>
        </is>
      </c>
      <c r="J3" s="18" t="n">
        <v>3600.016866966</v>
      </c>
      <c r="K3" s="17" t="n">
        <v>4325446</v>
      </c>
      <c r="L3" s="17" t="n">
        <v>85</v>
      </c>
      <c r="M3" s="17" t="n">
        <v>1980</v>
      </c>
      <c r="N3" s="17" t="n">
        <v>0</v>
      </c>
      <c r="O3" s="19" t="n">
        <v>0</v>
      </c>
      <c r="P3" s="19" t="n">
        <v>0</v>
      </c>
      <c r="Q3" s="19" t="n">
        <v>0.103596497707819</v>
      </c>
      <c r="R3" s="20" t="n">
        <v>3123.1507785692</v>
      </c>
      <c r="S3" s="20" t="n">
        <v>3158.30741291045</v>
      </c>
      <c r="T3" s="20" t="n">
        <v>0.0422255340288127</v>
      </c>
      <c r="U3" s="16" t="n">
        <v>0</v>
      </c>
      <c r="V3" s="16" t="n">
        <v>1</v>
      </c>
      <c r="W3" s="16" t="n">
        <v>1</v>
      </c>
      <c r="X3" s="16" t="n">
        <v>0</v>
      </c>
      <c r="Y3" s="16" t="n">
        <v>0</v>
      </c>
      <c r="Z3" s="16" t="n">
        <v>1</v>
      </c>
      <c r="AA3" s="16" t="n">
        <v>1</v>
      </c>
      <c r="AB3" s="16" t="n">
        <v>1</v>
      </c>
      <c r="AC3" s="16" t="n">
        <v>0</v>
      </c>
      <c r="AD3" s="16" t="n">
        <v>0</v>
      </c>
      <c r="AE3" s="16" t="n">
        <v>1</v>
      </c>
      <c r="AF3" s="21" t="n">
        <v>1</v>
      </c>
      <c r="AG3" s="21" t="n">
        <v>1</v>
      </c>
      <c r="AH3" s="21" t="n">
        <v>0</v>
      </c>
      <c r="AI3" s="21" t="n">
        <v>0</v>
      </c>
      <c r="AJ3" s="21" t="n">
        <v>1</v>
      </c>
      <c r="AK3" s="16" t="inlineStr">
        <is>
          <t>high</t>
        </is>
      </c>
      <c r="AL3" s="22" t="inlineStr">
        <is>
          <t>WEAK?: moderate 10.4% gap; borderline; BRANCH: 4,325,446 nodes (2149/var); PRESOLVE: 0% reduction on 2,013-var problem</t>
        </is>
      </c>
      <c r="AM3" s="22" t="n"/>
    </row>
    <row r="4" ht="60" customHeight="1">
      <c r="A4" s="16" t="n">
        <v>7</v>
      </c>
      <c r="B4" s="16" t="inlineStr">
        <is>
          <t>branching_heavy::cheese</t>
        </is>
      </c>
      <c r="C4" s="16" t="inlineStr">
        <is>
          <t>branching_heavy</t>
        </is>
      </c>
      <c r="D4" s="16" t="inlineStr">
        <is>
          <t>cheese</t>
        </is>
      </c>
      <c r="E4" s="17" t="n">
        <v>165</v>
      </c>
      <c r="F4" s="17" t="n">
        <v>130</v>
      </c>
      <c r="G4" s="17" t="n">
        <v>2861</v>
      </c>
      <c r="H4" s="16" t="inlineStr">
        <is>
          <t>optimal</t>
        </is>
      </c>
      <c r="I4" s="16" t="inlineStr">
        <is>
          <t>finished</t>
        </is>
      </c>
      <c r="J4" s="18" t="n">
        <v>1.348971924</v>
      </c>
      <c r="K4" s="17" t="n">
        <v>2593</v>
      </c>
      <c r="L4" s="17" t="n">
        <v>38</v>
      </c>
      <c r="M4" s="17" t="n">
        <v>56</v>
      </c>
      <c r="N4" s="17" t="n">
        <v>0</v>
      </c>
      <c r="O4" s="19" t="n">
        <v>0.242424242424242</v>
      </c>
      <c r="P4" s="19" t="n">
        <v>0.453846153846154</v>
      </c>
      <c r="Q4" s="19" t="n">
        <v>0</v>
      </c>
      <c r="R4" s="20" t="n">
        <v>429136.166944885</v>
      </c>
      <c r="S4" s="20" t="n">
        <v>458533</v>
      </c>
      <c r="T4" s="20" t="n">
        <v>0.23030303030303</v>
      </c>
      <c r="U4" s="16" t="n">
        <v>0</v>
      </c>
      <c r="V4" s="16" t="n">
        <v>0</v>
      </c>
      <c r="W4" s="16" t="n">
        <v>0</v>
      </c>
      <c r="X4" s="16" t="n">
        <v>0</v>
      </c>
      <c r="Y4" s="16" t="n">
        <v>0</v>
      </c>
      <c r="Z4" s="16" t="n">
        <v>0</v>
      </c>
      <c r="AA4" s="16" t="n">
        <v>0</v>
      </c>
      <c r="AB4" s="16" t="n">
        <v>0</v>
      </c>
      <c r="AC4" s="16" t="n">
        <v>0</v>
      </c>
      <c r="AD4" s="16" t="n">
        <v>0</v>
      </c>
      <c r="AE4" s="16" t="n">
        <v>0</v>
      </c>
      <c r="AF4" s="21" t="n">
        <v>0</v>
      </c>
      <c r="AG4" s="21" t="n">
        <v>0</v>
      </c>
      <c r="AH4" s="21" t="n">
        <v>0</v>
      </c>
      <c r="AI4" s="21" t="n">
        <v>0</v>
      </c>
      <c r="AJ4" s="21" t="n">
        <v>0</v>
      </c>
      <c r="AK4" s="16" t="inlineStr">
        <is>
          <t>med</t>
        </is>
      </c>
      <c r="AL4" s="22" t="inlineStr">
        <is>
          <t>HEALTHY: no bottlenecks detected (optimal in 1s)</t>
        </is>
      </c>
      <c r="AM4" s="22" t="n"/>
    </row>
    <row r="5" ht="60" customHeight="1">
      <c r="A5" s="16" t="n">
        <v>9</v>
      </c>
      <c r="B5" s="16" t="inlineStr">
        <is>
          <t>branching_heavy::dano3_5</t>
        </is>
      </c>
      <c r="C5" s="16" t="inlineStr">
        <is>
          <t>branching_heavy</t>
        </is>
      </c>
      <c r="D5" s="16" t="inlineStr">
        <is>
          <t>dano3_5</t>
        </is>
      </c>
      <c r="E5" s="17" t="n">
        <v>13873</v>
      </c>
      <c r="F5" s="17" t="n">
        <v>3202</v>
      </c>
      <c r="G5" s="17" t="n">
        <v>79655</v>
      </c>
      <c r="H5" s="16" t="inlineStr">
        <is>
          <t>optimal</t>
        </is>
      </c>
      <c r="I5" s="16" t="inlineStr">
        <is>
          <t>finished</t>
        </is>
      </c>
      <c r="J5" s="18" t="n">
        <v>56.945466473</v>
      </c>
      <c r="K5" s="17" t="n">
        <v>717</v>
      </c>
      <c r="L5" s="17" t="n">
        <v>15807</v>
      </c>
      <c r="M5" s="17" t="n">
        <v>1705</v>
      </c>
      <c r="N5" s="17" t="n">
        <v>0</v>
      </c>
      <c r="O5" s="19" t="n">
        <v>0.0025949686441288</v>
      </c>
      <c r="P5" s="19" t="n">
        <v>0.0159275452841973</v>
      </c>
      <c r="Q5" s="19" t="n">
        <v>4.59288700392932e-05</v>
      </c>
      <c r="R5" s="20" t="n">
        <v>576.241638906609</v>
      </c>
      <c r="S5" s="20" t="n">
        <v>576.898418447071</v>
      </c>
      <c r="T5" s="20" t="n">
        <v>1.13940748215959</v>
      </c>
      <c r="U5" s="16" t="n">
        <v>0</v>
      </c>
      <c r="V5" s="16" t="n">
        <v>0</v>
      </c>
      <c r="W5" s="16" t="n">
        <v>0</v>
      </c>
      <c r="X5" s="16" t="n">
        <v>1</v>
      </c>
      <c r="Y5" s="16" t="n">
        <v>1</v>
      </c>
      <c r="Z5" s="16" t="n">
        <v>0</v>
      </c>
      <c r="AA5" s="16" t="n">
        <v>0</v>
      </c>
      <c r="AB5" s="16" t="n">
        <v>0</v>
      </c>
      <c r="AC5" s="16" t="n">
        <v>1</v>
      </c>
      <c r="AD5" s="16" t="n">
        <v>1</v>
      </c>
      <c r="AE5" s="16" t="n">
        <v>0</v>
      </c>
      <c r="AF5" s="21" t="n">
        <v>0</v>
      </c>
      <c r="AG5" s="21" t="n">
        <v>0</v>
      </c>
      <c r="AH5" s="21" t="n">
        <v>1</v>
      </c>
      <c r="AI5" s="21" t="n">
        <v>1</v>
      </c>
      <c r="AJ5" s="21" t="n">
        <v>0</v>
      </c>
      <c r="AK5" s="16" t="inlineStr">
        <is>
          <t>med</t>
        </is>
      </c>
      <c r="AL5" s="22" t="inlineStr">
        <is>
          <t>CUTS: 1705 cuts, dual improved 0.1%; DEGEN: 15,807 LP iter (1.1/var)</t>
        </is>
      </c>
      <c r="AM5" s="22" t="n"/>
    </row>
    <row r="6" ht="60" customHeight="1">
      <c r="A6" s="16" t="n">
        <v>15</v>
      </c>
      <c r="B6" s="16" t="inlineStr">
        <is>
          <t>branching_heavy::f2gap801600</t>
        </is>
      </c>
      <c r="C6" s="16" t="inlineStr">
        <is>
          <t>branching_heavy</t>
        </is>
      </c>
      <c r="D6" s="16" t="inlineStr">
        <is>
          <t>f2gap801600</t>
        </is>
      </c>
      <c r="E6" s="17" t="n">
        <v>1600</v>
      </c>
      <c r="F6" s="17" t="n">
        <v>80</v>
      </c>
      <c r="G6" s="17" t="n">
        <v>3200</v>
      </c>
      <c r="H6" s="16" t="inlineStr">
        <is>
          <t>optimal</t>
        </is>
      </c>
      <c r="I6" s="16" t="inlineStr">
        <is>
          <t>finished</t>
        </is>
      </c>
      <c r="J6" s="18" t="n">
        <v>12.191670088</v>
      </c>
      <c r="K6" s="17" t="n">
        <v>167467</v>
      </c>
      <c r="L6" s="17" t="n">
        <v>80</v>
      </c>
      <c r="M6" s="17" t="n">
        <v>2578</v>
      </c>
      <c r="N6" s="17" t="n">
        <v>0</v>
      </c>
      <c r="O6" s="19" t="n">
        <v>0</v>
      </c>
      <c r="P6" s="19" t="n">
        <v>0</v>
      </c>
      <c r="Q6" s="19" t="n">
        <v>0</v>
      </c>
      <c r="R6" s="20" t="n">
        <v>86582.1694060606</v>
      </c>
      <c r="S6" s="20" t="n">
        <v>86679</v>
      </c>
      <c r="T6" s="20" t="n">
        <v>0.05</v>
      </c>
      <c r="U6" s="16" t="n">
        <v>0</v>
      </c>
      <c r="V6" s="16" t="n">
        <v>0</v>
      </c>
      <c r="W6" s="16" t="n">
        <v>1</v>
      </c>
      <c r="X6" s="16" t="n">
        <v>1</v>
      </c>
      <c r="Y6" s="16" t="n">
        <v>0</v>
      </c>
      <c r="Z6" s="16" t="n">
        <v>1</v>
      </c>
      <c r="AA6" s="16" t="n">
        <v>0</v>
      </c>
      <c r="AB6" s="16" t="n">
        <v>1</v>
      </c>
      <c r="AC6" s="16" t="n">
        <v>0</v>
      </c>
      <c r="AD6" s="16" t="n">
        <v>0</v>
      </c>
      <c r="AE6" s="16" t="n">
        <v>1</v>
      </c>
      <c r="AF6" s="21" t="n">
        <v>0</v>
      </c>
      <c r="AG6" s="21" t="n">
        <v>1</v>
      </c>
      <c r="AH6" s="21" t="n">
        <v>0</v>
      </c>
      <c r="AI6" s="21" t="n">
        <v>0</v>
      </c>
      <c r="AJ6" s="21" t="n">
        <v>1</v>
      </c>
      <c r="AK6" s="16" t="inlineStr">
        <is>
          <t>high</t>
        </is>
      </c>
      <c r="AL6" s="22" t="inlineStr">
        <is>
          <t>BRANCH: 167,467 nodes (105/var); CUTS overruled: 2578 cuts but solver found OPTIMAL (gap=0); cuts may have helped close gap; PRESOLVE: 0% reduction on 1,600-var problem</t>
        </is>
      </c>
      <c r="AM6" s="22" t="n"/>
    </row>
    <row r="7" ht="60" customHeight="1">
      <c r="A7" s="16" t="n">
        <v>17</v>
      </c>
      <c r="B7" s="16" t="inlineStr">
        <is>
          <t>branching_heavy::gen-ip002</t>
        </is>
      </c>
      <c r="C7" s="16" t="inlineStr">
        <is>
          <t>branching_heavy</t>
        </is>
      </c>
      <c r="D7" s="16" t="inlineStr">
        <is>
          <t>gen-ip002</t>
        </is>
      </c>
      <c r="E7" s="17" t="n">
        <v>41</v>
      </c>
      <c r="F7" s="17" t="n">
        <v>24</v>
      </c>
      <c r="G7" s="17" t="n">
        <v>922</v>
      </c>
      <c r="H7" s="16" t="inlineStr">
        <is>
          <t>optimal</t>
        </is>
      </c>
      <c r="I7" s="16" t="inlineStr">
        <is>
          <t>finished</t>
        </is>
      </c>
      <c r="J7" s="18" t="n">
        <v>96.63702270100001</v>
      </c>
      <c r="K7" s="17" t="n">
        <v>6845975</v>
      </c>
      <c r="L7" s="17" t="n">
        <v>39</v>
      </c>
      <c r="M7" s="17" t="n">
        <v>18</v>
      </c>
      <c r="N7" s="17" t="n">
        <v>0</v>
      </c>
      <c r="O7" s="19" t="n">
        <v>0</v>
      </c>
      <c r="P7" s="19" t="n">
        <v>0</v>
      </c>
      <c r="Q7" s="19" t="n">
        <v>9.47140431439754e-05</v>
      </c>
      <c r="R7" s="20" t="n">
        <v>-4840.54196130089</v>
      </c>
      <c r="S7" s="20" t="n">
        <v>-4784.18647833084</v>
      </c>
      <c r="T7" s="20" t="n">
        <v>0.951219512195122</v>
      </c>
      <c r="U7" s="16" t="n">
        <v>0</v>
      </c>
      <c r="V7" s="16" t="n">
        <v>0</v>
      </c>
      <c r="W7" s="16" t="n">
        <v>1</v>
      </c>
      <c r="X7" s="16" t="n">
        <v>0</v>
      </c>
      <c r="Y7" s="16" t="n">
        <v>0</v>
      </c>
      <c r="Z7" s="16" t="n">
        <v>1</v>
      </c>
      <c r="AA7" s="16" t="n">
        <v>0</v>
      </c>
      <c r="AB7" s="16" t="n">
        <v>1</v>
      </c>
      <c r="AC7" s="16" t="n">
        <v>0</v>
      </c>
      <c r="AD7" s="16" t="n">
        <v>0</v>
      </c>
      <c r="AE7" s="16" t="n">
        <v>0</v>
      </c>
      <c r="AF7" s="21" t="n">
        <v>0</v>
      </c>
      <c r="AG7" s="21" t="n">
        <v>1</v>
      </c>
      <c r="AH7" s="21" t="n">
        <v>0</v>
      </c>
      <c r="AI7" s="21" t="n">
        <v>0</v>
      </c>
      <c r="AJ7" s="21" t="n">
        <v>0</v>
      </c>
      <c r="AK7" s="16" t="inlineStr">
        <is>
          <t>med</t>
        </is>
      </c>
      <c r="AL7" s="22" t="inlineStr">
        <is>
          <t>BRANCH: 6,845,975 nodes (166975/var); PRESOLVE overruled: tiny problem (41 vars, 24 cons); little for presolve to reduce</t>
        </is>
      </c>
      <c r="AM7" s="22" t="n"/>
    </row>
    <row r="8" ht="60" customHeight="1">
      <c r="A8" s="16" t="n">
        <v>18</v>
      </c>
      <c r="B8" s="16" t="inlineStr">
        <is>
          <t>branching_heavy::gen-ip054</t>
        </is>
      </c>
      <c r="C8" s="16" t="inlineStr">
        <is>
          <t>branching_heavy</t>
        </is>
      </c>
      <c r="D8" s="16" t="inlineStr">
        <is>
          <t>gen-ip054</t>
        </is>
      </c>
      <c r="E8" s="17" t="n">
        <v>30</v>
      </c>
      <c r="F8" s="17" t="n">
        <v>27</v>
      </c>
      <c r="G8" s="17" t="n">
        <v>532</v>
      </c>
      <c r="H8" s="16" t="inlineStr">
        <is>
          <t>optimal</t>
        </is>
      </c>
      <c r="I8" s="16" t="inlineStr">
        <is>
          <t>finished</t>
        </is>
      </c>
      <c r="J8" s="18" t="n">
        <v>371.841494084</v>
      </c>
      <c r="K8" s="17" t="n">
        <v>23630340</v>
      </c>
      <c r="L8" s="17" t="n">
        <v>37</v>
      </c>
      <c r="M8" s="17" t="n">
        <v>45</v>
      </c>
      <c r="N8" s="17" t="n">
        <v>0</v>
      </c>
      <c r="O8" s="19" t="n">
        <v>0</v>
      </c>
      <c r="P8" s="19" t="n">
        <v>0</v>
      </c>
      <c r="Q8" s="19" t="n">
        <v>9.61638908338719e-05</v>
      </c>
      <c r="R8" s="20" t="n">
        <v>6766.21757610034</v>
      </c>
      <c r="S8" s="20" t="n">
        <v>6840.30778791882</v>
      </c>
      <c r="T8" s="20" t="n">
        <v>1.23333333333333</v>
      </c>
      <c r="U8" s="16" t="n">
        <v>0</v>
      </c>
      <c r="V8" s="16" t="n">
        <v>0</v>
      </c>
      <c r="W8" s="16" t="n">
        <v>1</v>
      </c>
      <c r="X8" s="16" t="n">
        <v>0</v>
      </c>
      <c r="Y8" s="16" t="n">
        <v>1</v>
      </c>
      <c r="Z8" s="16" t="n">
        <v>1</v>
      </c>
      <c r="AA8" s="16" t="n">
        <v>0</v>
      </c>
      <c r="AB8" s="16" t="n">
        <v>1</v>
      </c>
      <c r="AC8" s="16" t="n">
        <v>0</v>
      </c>
      <c r="AD8" s="16" t="n">
        <v>0</v>
      </c>
      <c r="AE8" s="16" t="n">
        <v>0</v>
      </c>
      <c r="AF8" s="21" t="n">
        <v>0</v>
      </c>
      <c r="AG8" s="21" t="n">
        <v>1</v>
      </c>
      <c r="AH8" s="21" t="n">
        <v>0</v>
      </c>
      <c r="AI8" s="21" t="n">
        <v>0</v>
      </c>
      <c r="AJ8" s="21" t="n">
        <v>0</v>
      </c>
      <c r="AK8" s="16" t="inlineStr">
        <is>
          <t>med</t>
        </is>
      </c>
      <c r="AL8" s="22" t="inlineStr">
        <is>
          <t>BRANCH: 23,630,340 nodes (787678/var); DEGEN overruled: only 37 LP iter; tiny problem; PRESOLVE overruled: tiny problem (30 vars, 27 cons); little for presolve to reduce</t>
        </is>
      </c>
      <c r="AM8" s="22" t="n"/>
    </row>
    <row r="9" ht="60" customHeight="1">
      <c r="A9" s="16" t="n">
        <v>19</v>
      </c>
      <c r="B9" s="16" t="inlineStr">
        <is>
          <t>branching_heavy::gfd-schedulen180f7d50m30k18</t>
        </is>
      </c>
      <c r="C9" s="16" t="inlineStr">
        <is>
          <t>branching_heavy</t>
        </is>
      </c>
      <c r="D9" s="16" t="inlineStr">
        <is>
          <t>gfd-schedulen180f7d50m30k18</t>
        </is>
      </c>
      <c r="E9" s="17" t="n">
        <v>227535</v>
      </c>
      <c r="F9" s="17" t="n">
        <v>457985</v>
      </c>
      <c r="G9" s="17" t="n">
        <v>1233372</v>
      </c>
      <c r="H9" s="16" t="inlineStr">
        <is>
          <t>no_solution</t>
        </is>
      </c>
      <c r="I9" s="16" t="inlineStr">
        <is>
          <t>timeout</t>
        </is>
      </c>
      <c r="J9" s="18" t="n"/>
      <c r="K9" s="17" t="n">
        <v>0</v>
      </c>
      <c r="L9" s="17" t="n">
        <v>0</v>
      </c>
      <c r="M9" s="17" t="n">
        <v>0</v>
      </c>
      <c r="N9" s="17" t="n">
        <v>0</v>
      </c>
      <c r="O9" s="19" t="n">
        <v>0.55204693783374</v>
      </c>
      <c r="P9" s="19" t="n">
        <v>0.514396759719205</v>
      </c>
      <c r="Q9" s="19" t="n"/>
      <c r="R9" s="20" t="n"/>
      <c r="S9" s="20" t="n"/>
      <c r="T9" s="20" t="n">
        <v>0</v>
      </c>
      <c r="U9" s="16" t="n">
        <v>0</v>
      </c>
      <c r="V9" s="16" t="n">
        <v>1</v>
      </c>
      <c r="W9" s="16" t="n">
        <v>0</v>
      </c>
      <c r="X9" s="16" t="n">
        <v>0</v>
      </c>
      <c r="Y9" s="16" t="n">
        <v>0</v>
      </c>
      <c r="Z9" s="16" t="n">
        <v>0</v>
      </c>
      <c r="AA9" s="16" t="n">
        <v>1</v>
      </c>
      <c r="AB9" s="16" t="n">
        <v>0</v>
      </c>
      <c r="AC9" s="16" t="n">
        <v>0</v>
      </c>
      <c r="AD9" s="16" t="n">
        <v>0</v>
      </c>
      <c r="AE9" s="16" t="n">
        <v>0</v>
      </c>
      <c r="AF9" s="21" t="n">
        <v>1</v>
      </c>
      <c r="AG9" s="21" t="n">
        <v>0</v>
      </c>
      <c r="AH9" s="21" t="n">
        <v>0</v>
      </c>
      <c r="AI9" s="21" t="n">
        <v>0</v>
      </c>
      <c r="AJ9" s="21" t="n">
        <v>0</v>
      </c>
      <c r="AK9" s="16" t="inlineStr">
        <is>
          <t>high</t>
        </is>
      </c>
      <c r="AL9" s="22" t="inlineStr">
        <is>
          <t>WEAK: no solution found, not solved in presolve</t>
        </is>
      </c>
      <c r="AM9" s="22" t="n"/>
    </row>
    <row r="10" ht="60" customHeight="1">
      <c r="A10" s="16" t="n">
        <v>26</v>
      </c>
      <c r="B10" s="16" t="inlineStr">
        <is>
          <t>branching_heavy::map10</t>
        </is>
      </c>
      <c r="C10" s="16" t="inlineStr">
        <is>
          <t>branching_heavy</t>
        </is>
      </c>
      <c r="D10" s="16" t="inlineStr">
        <is>
          <t>map10</t>
        </is>
      </c>
      <c r="E10" s="17" t="n">
        <v>164547</v>
      </c>
      <c r="F10" s="17" t="n">
        <v>328818</v>
      </c>
      <c r="G10" s="17" t="n">
        <v>549920</v>
      </c>
      <c r="H10" s="16" t="inlineStr">
        <is>
          <t>optimal</t>
        </is>
      </c>
      <c r="I10" s="16" t="inlineStr">
        <is>
          <t>finished</t>
        </is>
      </c>
      <c r="J10" s="18" t="n">
        <v>74.08064459800001</v>
      </c>
      <c r="K10" s="17" t="n">
        <v>2147</v>
      </c>
      <c r="L10" s="17" t="n">
        <v>1387</v>
      </c>
      <c r="M10" s="17" t="n">
        <v>65</v>
      </c>
      <c r="N10" s="17" t="n">
        <v>0</v>
      </c>
      <c r="O10" s="19" t="n">
        <v>0.912973193069457</v>
      </c>
      <c r="P10" s="19" t="n">
        <v>0.9113004762513</v>
      </c>
      <c r="Q10" s="19" t="n">
        <v>0</v>
      </c>
      <c r="R10" s="20" t="n">
        <v>-602.176180618787</v>
      </c>
      <c r="S10" s="20" t="n">
        <v>-495</v>
      </c>
      <c r="T10" s="20" t="n">
        <v>0.008429202598649601</v>
      </c>
      <c r="U10" s="16" t="n">
        <v>0</v>
      </c>
      <c r="V10" s="16" t="n">
        <v>0</v>
      </c>
      <c r="W10" s="16" t="n">
        <v>0</v>
      </c>
      <c r="X10" s="16" t="n">
        <v>0</v>
      </c>
      <c r="Y10" s="16" t="n">
        <v>0</v>
      </c>
      <c r="Z10" s="16" t="n">
        <v>0</v>
      </c>
      <c r="AA10" s="16" t="n">
        <v>0</v>
      </c>
      <c r="AB10" s="16" t="n">
        <v>0</v>
      </c>
      <c r="AC10" s="16" t="n">
        <v>0</v>
      </c>
      <c r="AD10" s="16" t="n">
        <v>0</v>
      </c>
      <c r="AE10" s="16" t="n">
        <v>0</v>
      </c>
      <c r="AF10" s="21" t="n">
        <v>0</v>
      </c>
      <c r="AG10" s="21" t="n">
        <v>0</v>
      </c>
      <c r="AH10" s="21" t="n">
        <v>0</v>
      </c>
      <c r="AI10" s="21" t="n">
        <v>0</v>
      </c>
      <c r="AJ10" s="21" t="n">
        <v>0</v>
      </c>
      <c r="AK10" s="16" t="inlineStr">
        <is>
          <t>med</t>
        </is>
      </c>
      <c r="AL10" s="22" t="inlineStr">
        <is>
          <t>HEALTHY: no bottlenecks detected (optimal in 74s)</t>
        </is>
      </c>
      <c r="AM10" s="22" t="n"/>
    </row>
    <row r="11" ht="60" customHeight="1">
      <c r="A11" s="16" t="n">
        <v>27</v>
      </c>
      <c r="B11" s="16" t="inlineStr">
        <is>
          <t>branching_heavy::markshare_4_0</t>
        </is>
      </c>
      <c r="C11" s="16" t="inlineStr">
        <is>
          <t>branching_heavy</t>
        </is>
      </c>
      <c r="D11" s="16" t="inlineStr">
        <is>
          <t>markshare_4_0</t>
        </is>
      </c>
      <c r="E11" s="17" t="n">
        <v>34</v>
      </c>
      <c r="F11" s="17" t="n">
        <v>4</v>
      </c>
      <c r="G11" s="17" t="n">
        <v>123</v>
      </c>
      <c r="H11" s="16" t="inlineStr">
        <is>
          <t>optimal</t>
        </is>
      </c>
      <c r="I11" s="16" t="inlineStr">
        <is>
          <t>finished</t>
        </is>
      </c>
      <c r="J11" s="18" t="n">
        <v>7.271234236</v>
      </c>
      <c r="K11" s="17" t="n">
        <v>1680113</v>
      </c>
      <c r="L11" s="17" t="n">
        <v>3212105</v>
      </c>
      <c r="M11" s="17" t="n">
        <v>23</v>
      </c>
      <c r="N11" s="17" t="n">
        <v>0</v>
      </c>
      <c r="O11" s="19" t="n">
        <v>0</v>
      </c>
      <c r="P11" s="19" t="n">
        <v>0</v>
      </c>
      <c r="Q11" s="19" t="n">
        <v>0</v>
      </c>
      <c r="R11" s="20" t="n">
        <v>0</v>
      </c>
      <c r="S11" s="20" t="n">
        <v>1</v>
      </c>
      <c r="T11" s="20" t="n">
        <v>94473.67647058819</v>
      </c>
      <c r="U11" s="16" t="n">
        <v>0</v>
      </c>
      <c r="V11" s="16" t="n">
        <v>0</v>
      </c>
      <c r="W11" s="16" t="n">
        <v>1</v>
      </c>
      <c r="X11" s="16" t="n">
        <v>0</v>
      </c>
      <c r="Y11" s="16" t="n">
        <v>1</v>
      </c>
      <c r="Z11" s="16" t="n">
        <v>1</v>
      </c>
      <c r="AA11" s="16" t="n">
        <v>0</v>
      </c>
      <c r="AB11" s="16" t="n">
        <v>1</v>
      </c>
      <c r="AC11" s="16" t="n">
        <v>0</v>
      </c>
      <c r="AD11" s="16" t="n">
        <v>1</v>
      </c>
      <c r="AE11" s="16" t="n">
        <v>0</v>
      </c>
      <c r="AF11" s="21" t="n">
        <v>0</v>
      </c>
      <c r="AG11" s="21" t="n">
        <v>1</v>
      </c>
      <c r="AH11" s="21" t="n">
        <v>0</v>
      </c>
      <c r="AI11" s="21" t="n">
        <v>1</v>
      </c>
      <c r="AJ11" s="21" t="n">
        <v>0</v>
      </c>
      <c r="AK11" s="16" t="inlineStr">
        <is>
          <t>med</t>
        </is>
      </c>
      <c r="AL11" s="22" t="inlineStr">
        <is>
          <t>BRANCH: 1,680,113 nodes (49415/var); DEGEN: 3,212,105 LP iter (94473.7/var); PRESOLVE overruled: tiny problem (34 vars, 4 cons); little for presolve to reduce</t>
        </is>
      </c>
      <c r="AM11" s="22" t="n"/>
    </row>
    <row r="12" ht="60" customHeight="1">
      <c r="A12" s="16" t="n">
        <v>38</v>
      </c>
      <c r="B12" s="16" t="inlineStr">
        <is>
          <t>branching_heavy::neos-5052403-cygnet</t>
        </is>
      </c>
      <c r="C12" s="16" t="inlineStr">
        <is>
          <t>branching_heavy</t>
        </is>
      </c>
      <c r="D12" s="16" t="inlineStr">
        <is>
          <t>neos-5052403-cygnet</t>
        </is>
      </c>
      <c r="E12" s="17" t="n">
        <v>32868</v>
      </c>
      <c r="F12" s="17" t="n">
        <v>38268</v>
      </c>
      <c r="G12" s="17" t="n">
        <v>4898304</v>
      </c>
      <c r="H12" s="16" t="inlineStr">
        <is>
          <t>feasible</t>
        </is>
      </c>
      <c r="I12" s="16" t="inlineStr">
        <is>
          <t>timeout</t>
        </is>
      </c>
      <c r="J12" s="18" t="n">
        <v>3601.319340914</v>
      </c>
      <c r="K12" s="17" t="n">
        <v>3696</v>
      </c>
      <c r="L12" s="17" t="n">
        <v>10046</v>
      </c>
      <c r="M12" s="17" t="n">
        <v>9141</v>
      </c>
      <c r="N12" s="17" t="n">
        <v>0</v>
      </c>
      <c r="O12" s="19" t="n">
        <v>0.160490446635025</v>
      </c>
      <c r="P12" s="19" t="n">
        <v>0.5</v>
      </c>
      <c r="Q12" s="19" t="n">
        <v>0.0089522926871383</v>
      </c>
      <c r="R12" s="20" t="n">
        <v>179.50037100659</v>
      </c>
      <c r="S12" s="20" t="n">
        <v>180.370682730938</v>
      </c>
      <c r="T12" s="20" t="n">
        <v>0.305646829743215</v>
      </c>
      <c r="U12" s="16" t="n">
        <v>0</v>
      </c>
      <c r="V12" s="16" t="n">
        <v>0</v>
      </c>
      <c r="W12" s="16" t="n">
        <v>0</v>
      </c>
      <c r="X12" s="16" t="n">
        <v>1</v>
      </c>
      <c r="Y12" s="16" t="n">
        <v>0</v>
      </c>
      <c r="Z12" s="16" t="n">
        <v>0</v>
      </c>
      <c r="AA12" s="16" t="n">
        <v>0</v>
      </c>
      <c r="AB12" s="16" t="n">
        <v>0</v>
      </c>
      <c r="AC12" s="16" t="n">
        <v>1</v>
      </c>
      <c r="AD12" s="16" t="n">
        <v>0</v>
      </c>
      <c r="AE12" s="16" t="n">
        <v>0</v>
      </c>
      <c r="AF12" s="21" t="n">
        <v>0</v>
      </c>
      <c r="AG12" s="21" t="n">
        <v>0</v>
      </c>
      <c r="AH12" s="21" t="n">
        <v>1</v>
      </c>
      <c r="AI12" s="21" t="n">
        <v>0</v>
      </c>
      <c r="AJ12" s="21" t="n">
        <v>0</v>
      </c>
      <c r="AK12" s="16" t="inlineStr">
        <is>
          <t>med</t>
        </is>
      </c>
      <c r="AL12" s="22" t="inlineStr">
        <is>
          <t>CUTS: 9141 cuts, dual improved 0.5%</t>
        </is>
      </c>
      <c r="AM12" s="22" t="n"/>
    </row>
    <row r="13" ht="60" customHeight="1">
      <c r="A13" s="16" t="n">
        <v>43</v>
      </c>
      <c r="B13" s="16" t="inlineStr">
        <is>
          <t>branching_heavy::neos-860300</t>
        </is>
      </c>
      <c r="C13" s="16" t="inlineStr">
        <is>
          <t>branching_heavy</t>
        </is>
      </c>
      <c r="D13" s="16" t="inlineStr">
        <is>
          <t>neos-860300</t>
        </is>
      </c>
      <c r="E13" s="17" t="n">
        <v>1385</v>
      </c>
      <c r="F13" s="17" t="n">
        <v>850</v>
      </c>
      <c r="G13" s="17" t="n">
        <v>384329</v>
      </c>
      <c r="H13" s="16" t="inlineStr">
        <is>
          <t>optimal</t>
        </is>
      </c>
      <c r="I13" s="16" t="inlineStr">
        <is>
          <t>finished</t>
        </is>
      </c>
      <c r="J13" s="18" t="n">
        <v>12.411840317</v>
      </c>
      <c r="K13" s="17" t="n">
        <v>881</v>
      </c>
      <c r="L13" s="17" t="n">
        <v>70</v>
      </c>
      <c r="M13" s="17" t="n">
        <v>791</v>
      </c>
      <c r="N13" s="17" t="n">
        <v>0</v>
      </c>
      <c r="O13" s="19" t="n">
        <v>0.11985559566787</v>
      </c>
      <c r="P13" s="19" t="n">
        <v>0.331764705882353</v>
      </c>
      <c r="Q13" s="19" t="n">
        <v>0</v>
      </c>
      <c r="R13" s="20" t="n">
        <v>2091.90342137296</v>
      </c>
      <c r="S13" s="20" t="n">
        <v>3201</v>
      </c>
      <c r="T13" s="20" t="n">
        <v>0.0505415162454873</v>
      </c>
      <c r="U13" s="16" t="n">
        <v>0</v>
      </c>
      <c r="V13" s="16" t="n">
        <v>0</v>
      </c>
      <c r="W13" s="16" t="n">
        <v>0</v>
      </c>
      <c r="X13" s="16" t="n">
        <v>0</v>
      </c>
      <c r="Y13" s="16" t="n">
        <v>0</v>
      </c>
      <c r="Z13" s="16" t="n">
        <v>0</v>
      </c>
      <c r="AA13" s="16" t="n">
        <v>0</v>
      </c>
      <c r="AB13" s="16" t="n">
        <v>0</v>
      </c>
      <c r="AC13" s="16" t="n">
        <v>0</v>
      </c>
      <c r="AD13" s="16" t="n">
        <v>0</v>
      </c>
      <c r="AE13" s="16" t="n">
        <v>0</v>
      </c>
      <c r="AF13" s="21" t="n">
        <v>0</v>
      </c>
      <c r="AG13" s="21" t="n">
        <v>0</v>
      </c>
      <c r="AH13" s="21" t="n">
        <v>0</v>
      </c>
      <c r="AI13" s="21" t="n">
        <v>0</v>
      </c>
      <c r="AJ13" s="21" t="n">
        <v>0</v>
      </c>
      <c r="AK13" s="16" t="inlineStr">
        <is>
          <t>med</t>
        </is>
      </c>
      <c r="AL13" s="22" t="inlineStr">
        <is>
          <t>HEALTHY: no bottlenecks detected (optimal in 12s)</t>
        </is>
      </c>
      <c r="AM13" s="22" t="n"/>
    </row>
    <row r="14" ht="60" customHeight="1">
      <c r="A14" s="16" t="n">
        <v>44</v>
      </c>
      <c r="B14" s="16" t="inlineStr">
        <is>
          <t>branching_heavy::neos-873061</t>
        </is>
      </c>
      <c r="C14" s="16" t="inlineStr">
        <is>
          <t>branching_heavy</t>
        </is>
      </c>
      <c r="D14" s="16" t="inlineStr">
        <is>
          <t>neos-873061</t>
        </is>
      </c>
      <c r="E14" s="17" t="n">
        <v>175288</v>
      </c>
      <c r="F14" s="17" t="n">
        <v>93360</v>
      </c>
      <c r="G14" s="17" t="n">
        <v>350576</v>
      </c>
      <c r="H14" s="16" t="inlineStr">
        <is>
          <t>feasible</t>
        </is>
      </c>
      <c r="I14" s="16" t="inlineStr">
        <is>
          <t>timeout</t>
        </is>
      </c>
      <c r="J14" s="18" t="n">
        <v>3604.589139937</v>
      </c>
      <c r="K14" s="17" t="n">
        <v>16298</v>
      </c>
      <c r="L14" s="17" t="n">
        <v>7502</v>
      </c>
      <c r="M14" s="17" t="n">
        <v>180</v>
      </c>
      <c r="N14" s="17" t="n">
        <v>0</v>
      </c>
      <c r="O14" s="19" t="n">
        <v>0.0190600611564967</v>
      </c>
      <c r="P14" s="19" t="n">
        <v>0.0271958011996572</v>
      </c>
      <c r="Q14" s="19" t="n">
        <v>0.126219526737583</v>
      </c>
      <c r="R14" s="20" t="n">
        <v>98.7301546596923</v>
      </c>
      <c r="S14" s="20" t="n">
        <v>106.118567120294</v>
      </c>
      <c r="T14" s="20" t="n">
        <v>0.0427981379215918</v>
      </c>
      <c r="U14" s="16" t="n">
        <v>0</v>
      </c>
      <c r="V14" s="16" t="n">
        <v>1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1</v>
      </c>
      <c r="AB14" s="16" t="n">
        <v>0</v>
      </c>
      <c r="AC14" s="16" t="n">
        <v>0</v>
      </c>
      <c r="AD14" s="16" t="n">
        <v>0</v>
      </c>
      <c r="AE14" s="16" t="n">
        <v>0</v>
      </c>
      <c r="AF14" s="21" t="n">
        <v>1</v>
      </c>
      <c r="AG14" s="21" t="n">
        <v>0</v>
      </c>
      <c r="AH14" s="21" t="n">
        <v>0</v>
      </c>
      <c r="AI14" s="21" t="n">
        <v>0</v>
      </c>
      <c r="AJ14" s="21" t="n">
        <v>0</v>
      </c>
      <c r="AK14" s="16" t="inlineStr">
        <is>
          <t>low</t>
        </is>
      </c>
      <c r="AL14" s="22" t="inlineStr">
        <is>
          <t>WEAK?: moderate 12.6% gap; borderline</t>
        </is>
      </c>
      <c r="AM14" s="22" t="n"/>
    </row>
    <row r="15" ht="60" customHeight="1">
      <c r="A15" s="16" t="n">
        <v>55</v>
      </c>
      <c r="B15" s="16" t="inlineStr">
        <is>
          <t>branching_heavy::ns1644855</t>
        </is>
      </c>
      <c r="C15" s="16" t="inlineStr">
        <is>
          <t>branching_heavy</t>
        </is>
      </c>
      <c r="D15" s="16" t="inlineStr">
        <is>
          <t>ns1644855</t>
        </is>
      </c>
      <c r="E15" s="17" t="n">
        <v>30200</v>
      </c>
      <c r="F15" s="17" t="n">
        <v>40698</v>
      </c>
      <c r="G15" s="17" t="n">
        <v>2110696</v>
      </c>
      <c r="H15" s="16" t="inlineStr">
        <is>
          <t>optimal</t>
        </is>
      </c>
      <c r="I15" s="16" t="inlineStr">
        <is>
          <t>finished</t>
        </is>
      </c>
      <c r="J15" s="18" t="n">
        <v>461.666101705</v>
      </c>
      <c r="K15" s="17" t="n">
        <v>569</v>
      </c>
      <c r="L15" s="17" t="n">
        <v>41411</v>
      </c>
      <c r="M15" s="17" t="n">
        <v>8228</v>
      </c>
      <c r="N15" s="17" t="n">
        <v>0</v>
      </c>
      <c r="O15" s="19" t="n">
        <v>3.31125827814915e-05</v>
      </c>
      <c r="P15" s="19" t="n">
        <v>0.25062656641604</v>
      </c>
      <c r="Q15" s="19" t="n">
        <v>1.34246429848399e-15</v>
      </c>
      <c r="R15" s="20" t="n">
        <v>-1524.33333333334</v>
      </c>
      <c r="S15" s="20" t="n">
        <v>-1524.33333333334</v>
      </c>
      <c r="T15" s="20" t="n">
        <v>1.37122516556291</v>
      </c>
      <c r="U15" s="16" t="n">
        <v>0</v>
      </c>
      <c r="V15" s="16" t="n">
        <v>0</v>
      </c>
      <c r="W15" s="16" t="n">
        <v>0</v>
      </c>
      <c r="X15" s="16" t="n">
        <v>1</v>
      </c>
      <c r="Y15" s="16" t="n">
        <v>1</v>
      </c>
      <c r="Z15" s="16" t="n">
        <v>0</v>
      </c>
      <c r="AA15" s="16" t="n">
        <v>0</v>
      </c>
      <c r="AB15" s="16" t="n">
        <v>0</v>
      </c>
      <c r="AC15" s="16" t="n">
        <v>1</v>
      </c>
      <c r="AD15" s="16" t="n">
        <v>1</v>
      </c>
      <c r="AE15" s="16" t="n">
        <v>0</v>
      </c>
      <c r="AF15" s="21" t="n">
        <v>0</v>
      </c>
      <c r="AG15" s="21" t="n">
        <v>0</v>
      </c>
      <c r="AH15" s="21" t="n">
        <v>1</v>
      </c>
      <c r="AI15" s="21" t="n">
        <v>1</v>
      </c>
      <c r="AJ15" s="21" t="n">
        <v>0</v>
      </c>
      <c r="AK15" s="16" t="inlineStr">
        <is>
          <t>high</t>
        </is>
      </c>
      <c r="AL15" s="22" t="inlineStr">
        <is>
          <t>CUTS: 8228 cuts generated, dual unchanged; DEGEN: 41,411 LP iter (1.4/var)</t>
        </is>
      </c>
      <c r="AM15" s="22" t="n"/>
    </row>
    <row r="16" ht="60" customHeight="1">
      <c r="A16" s="16" t="n">
        <v>57</v>
      </c>
      <c r="B16" s="16" t="inlineStr">
        <is>
          <t>branching_heavy::ns1952667</t>
        </is>
      </c>
      <c r="C16" s="16" t="inlineStr">
        <is>
          <t>branching_heavy</t>
        </is>
      </c>
      <c r="D16" s="16" t="inlineStr">
        <is>
          <t>ns1952667</t>
        </is>
      </c>
      <c r="E16" s="17" t="n">
        <v>13264</v>
      </c>
      <c r="F16" s="17" t="n">
        <v>41</v>
      </c>
      <c r="G16" s="17" t="n">
        <v>335643</v>
      </c>
      <c r="H16" s="16" t="inlineStr">
        <is>
          <t>no_solution</t>
        </is>
      </c>
      <c r="I16" s="16" t="inlineStr">
        <is>
          <t>timeout</t>
        </is>
      </c>
      <c r="J16" s="18" t="n">
        <v>3600.883753305</v>
      </c>
      <c r="K16" s="17" t="n">
        <v>1293047</v>
      </c>
      <c r="L16" s="17" t="n">
        <v>34</v>
      </c>
      <c r="M16" s="17" t="n">
        <v>1200</v>
      </c>
      <c r="N16" s="17" t="n">
        <v>0</v>
      </c>
      <c r="O16" s="19" t="n">
        <v>0.0172647768395657</v>
      </c>
      <c r="P16" s="19" t="n">
        <v>0.024390243902439</v>
      </c>
      <c r="Q16" s="19" t="n"/>
      <c r="R16" s="20" t="n">
        <v>0</v>
      </c>
      <c r="S16" s="20" t="n">
        <v>0</v>
      </c>
      <c r="T16" s="20" t="n">
        <v>0.0025633293124246</v>
      </c>
      <c r="U16" s="16" t="n">
        <v>0</v>
      </c>
      <c r="V16" s="16" t="n">
        <v>1</v>
      </c>
      <c r="W16" s="16" t="n">
        <v>0</v>
      </c>
      <c r="X16" s="16" t="n">
        <v>1</v>
      </c>
      <c r="Y16" s="16" t="n">
        <v>0</v>
      </c>
      <c r="Z16" s="16" t="n">
        <v>0</v>
      </c>
      <c r="AA16" s="16" t="n">
        <v>1</v>
      </c>
      <c r="AB16" s="16" t="n">
        <v>0</v>
      </c>
      <c r="AC16" s="16" t="n">
        <v>1</v>
      </c>
      <c r="AD16" s="16" t="n">
        <v>0</v>
      </c>
      <c r="AE16" s="16" t="n">
        <v>0</v>
      </c>
      <c r="AF16" s="21" t="n">
        <v>1</v>
      </c>
      <c r="AG16" s="21" t="n">
        <v>0</v>
      </c>
      <c r="AH16" s="21" t="n">
        <v>1</v>
      </c>
      <c r="AI16" s="21" t="n">
        <v>0</v>
      </c>
      <c r="AJ16" s="21" t="n">
        <v>0</v>
      </c>
      <c r="AK16" s="16" t="inlineStr">
        <is>
          <t>high</t>
        </is>
      </c>
      <c r="AL16" s="22" t="inlineStr">
        <is>
          <t>WEAK: no solution found, not solved in presolve; CUTS: 1200 cuts generated, dual unchanged</t>
        </is>
      </c>
      <c r="AM16" s="22" t="n"/>
    </row>
    <row r="17" ht="60" customHeight="1">
      <c r="A17" s="16" t="n">
        <v>63</v>
      </c>
      <c r="B17" s="16" t="inlineStr">
        <is>
          <t>branching_heavy::pg</t>
        </is>
      </c>
      <c r="C17" s="16" t="inlineStr">
        <is>
          <t>branching_heavy</t>
        </is>
      </c>
      <c r="D17" s="16" t="inlineStr">
        <is>
          <t>pg</t>
        </is>
      </c>
      <c r="E17" s="17" t="n">
        <v>2700</v>
      </c>
      <c r="F17" s="17" t="n">
        <v>125</v>
      </c>
      <c r="G17" s="17" t="n">
        <v>5200</v>
      </c>
      <c r="H17" s="16" t="inlineStr">
        <is>
          <t>optimal</t>
        </is>
      </c>
      <c r="I17" s="16" t="inlineStr">
        <is>
          <t>finished</t>
        </is>
      </c>
      <c r="J17" s="18" t="n">
        <v>9.219655989</v>
      </c>
      <c r="K17" s="17" t="n">
        <v>7025</v>
      </c>
      <c r="L17" s="17" t="n">
        <v>100</v>
      </c>
      <c r="M17" s="17" t="n">
        <v>384</v>
      </c>
      <c r="N17" s="17" t="n">
        <v>0</v>
      </c>
      <c r="O17" s="19" t="n">
        <v>0</v>
      </c>
      <c r="P17" s="19" t="n">
        <v>0</v>
      </c>
      <c r="Q17" s="19" t="n">
        <v>0</v>
      </c>
      <c r="R17" s="20" t="n">
        <v>-11824.6573815593</v>
      </c>
      <c r="S17" s="20" t="n">
        <v>-8674.342607117031</v>
      </c>
      <c r="T17" s="20" t="n">
        <v>0.037037037037037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1</v>
      </c>
      <c r="AA17" s="16" t="n">
        <v>0</v>
      </c>
      <c r="AB17" s="16" t="n">
        <v>0</v>
      </c>
      <c r="AC17" s="16" t="n">
        <v>0</v>
      </c>
      <c r="AD17" s="16" t="n">
        <v>0</v>
      </c>
      <c r="AE17" s="16" t="n">
        <v>1</v>
      </c>
      <c r="AF17" s="21" t="n">
        <v>0</v>
      </c>
      <c r="AG17" s="21" t="n">
        <v>0</v>
      </c>
      <c r="AH17" s="21" t="n">
        <v>0</v>
      </c>
      <c r="AI17" s="21" t="n">
        <v>0</v>
      </c>
      <c r="AJ17" s="21" t="n">
        <v>1</v>
      </c>
      <c r="AK17" s="16" t="inlineStr">
        <is>
          <t>high</t>
        </is>
      </c>
      <c r="AL17" s="22" t="inlineStr">
        <is>
          <t>PRESOLVE: 0% reduction on 2,700-var problem</t>
        </is>
      </c>
      <c r="AM17" s="22" t="n"/>
    </row>
    <row r="18" ht="60" customHeight="1">
      <c r="A18" s="16" t="n">
        <v>71</v>
      </c>
      <c r="B18" s="16" t="inlineStr">
        <is>
          <t>branching_heavy::ran14x18-disj-8</t>
        </is>
      </c>
      <c r="C18" s="16" t="inlineStr">
        <is>
          <t>branching_heavy</t>
        </is>
      </c>
      <c r="D18" s="16" t="inlineStr">
        <is>
          <t>ran14x18-disj-8</t>
        </is>
      </c>
      <c r="E18" s="17" t="n">
        <v>504</v>
      </c>
      <c r="F18" s="17" t="n">
        <v>447</v>
      </c>
      <c r="G18" s="17" t="n">
        <v>10277</v>
      </c>
      <c r="H18" s="16" t="inlineStr">
        <is>
          <t>optimal</t>
        </is>
      </c>
      <c r="I18" s="16" t="inlineStr">
        <is>
          <t>finished</t>
        </is>
      </c>
      <c r="J18" s="18" t="n">
        <v>1461.952237804</v>
      </c>
      <c r="K18" s="17" t="n">
        <v>15732417</v>
      </c>
      <c r="L18" s="17" t="n">
        <v>415</v>
      </c>
      <c r="M18" s="17" t="n">
        <v>926</v>
      </c>
      <c r="N18" s="17" t="n">
        <v>0</v>
      </c>
      <c r="O18" s="19" t="n">
        <v>0</v>
      </c>
      <c r="P18" s="19" t="n">
        <v>0</v>
      </c>
      <c r="Q18" s="19" t="n">
        <v>9.57044576907063e-05</v>
      </c>
      <c r="R18" s="20" t="n">
        <v>3444.42106638948</v>
      </c>
      <c r="S18" s="20" t="n">
        <v>3711.64474505149</v>
      </c>
      <c r="T18" s="20" t="n">
        <v>0.823412698412698</v>
      </c>
      <c r="U18" s="16" t="n">
        <v>0</v>
      </c>
      <c r="V18" s="16" t="n">
        <v>0</v>
      </c>
      <c r="W18" s="16" t="n">
        <v>1</v>
      </c>
      <c r="X18" s="16" t="n">
        <v>0</v>
      </c>
      <c r="Y18" s="16" t="n">
        <v>0</v>
      </c>
      <c r="Z18" s="16" t="n">
        <v>1</v>
      </c>
      <c r="AA18" s="16" t="n">
        <v>0</v>
      </c>
      <c r="AB18" s="16" t="n">
        <v>1</v>
      </c>
      <c r="AC18" s="16" t="n">
        <v>0</v>
      </c>
      <c r="AD18" s="16" t="n">
        <v>0</v>
      </c>
      <c r="AE18" s="16" t="n">
        <v>1</v>
      </c>
      <c r="AF18" s="21" t="n">
        <v>0</v>
      </c>
      <c r="AG18" s="21" t="n">
        <v>1</v>
      </c>
      <c r="AH18" s="21" t="n">
        <v>0</v>
      </c>
      <c r="AI18" s="21" t="n">
        <v>0</v>
      </c>
      <c r="AJ18" s="21" t="n">
        <v>1</v>
      </c>
      <c r="AK18" s="16" t="inlineStr">
        <is>
          <t>high</t>
        </is>
      </c>
      <c r="AL18" s="22" t="inlineStr">
        <is>
          <t>BRANCH: 15,732,417 nodes (31215/var); PRESOLVE: 0.0% var, 0.0% con reduction</t>
        </is>
      </c>
      <c r="AM18" s="22" t="n"/>
    </row>
    <row r="19" ht="60" customHeight="1">
      <c r="A19" s="16" t="n">
        <v>73</v>
      </c>
      <c r="B19" s="16" t="inlineStr">
        <is>
          <t>branching_heavy::rococoC10-001000</t>
        </is>
      </c>
      <c r="C19" s="16" t="inlineStr">
        <is>
          <t>branching_heavy</t>
        </is>
      </c>
      <c r="D19" s="16" t="inlineStr">
        <is>
          <t>rococoC10-001000</t>
        </is>
      </c>
      <c r="E19" s="17" t="n">
        <v>3117</v>
      </c>
      <c r="F19" s="17" t="n">
        <v>1293</v>
      </c>
      <c r="G19" s="17" t="n">
        <v>11751</v>
      </c>
      <c r="H19" s="16" t="inlineStr">
        <is>
          <t>optimal</t>
        </is>
      </c>
      <c r="I19" s="16" t="inlineStr">
        <is>
          <t>finished</t>
        </is>
      </c>
      <c r="J19" s="18" t="n">
        <v>448.945505433</v>
      </c>
      <c r="K19" s="17" t="n">
        <v>5444098</v>
      </c>
      <c r="L19" s="17" t="n">
        <v>307</v>
      </c>
      <c r="M19" s="17" t="n">
        <v>1301</v>
      </c>
      <c r="N19" s="17" t="n">
        <v>0</v>
      </c>
      <c r="O19" s="19" t="n">
        <v>0.21655437921078</v>
      </c>
      <c r="P19" s="19" t="n">
        <v>0.554524361948956</v>
      </c>
      <c r="Q19" s="19" t="n">
        <v>8.48820096002804e-08</v>
      </c>
      <c r="R19" s="20" t="n">
        <v>8963.977284848141</v>
      </c>
      <c r="S19" s="20" t="n">
        <v>11459.9990272522</v>
      </c>
      <c r="T19" s="20" t="n">
        <v>0.0984921398780879</v>
      </c>
      <c r="U19" s="16" t="n">
        <v>0</v>
      </c>
      <c r="V19" s="16" t="n">
        <v>0</v>
      </c>
      <c r="W19" s="16" t="n">
        <v>1</v>
      </c>
      <c r="X19" s="16" t="n">
        <v>0</v>
      </c>
      <c r="Y19" s="16" t="n">
        <v>0</v>
      </c>
      <c r="Z19" s="16" t="n">
        <v>0</v>
      </c>
      <c r="AA19" s="16" t="n">
        <v>0</v>
      </c>
      <c r="AB19" s="16" t="n">
        <v>1</v>
      </c>
      <c r="AC19" s="16" t="n">
        <v>0</v>
      </c>
      <c r="AD19" s="16" t="n">
        <v>0</v>
      </c>
      <c r="AE19" s="16" t="n">
        <v>0</v>
      </c>
      <c r="AF19" s="21" t="n">
        <v>0</v>
      </c>
      <c r="AG19" s="21" t="n">
        <v>1</v>
      </c>
      <c r="AH19" s="21" t="n">
        <v>0</v>
      </c>
      <c r="AI19" s="21" t="n">
        <v>0</v>
      </c>
      <c r="AJ19" s="21" t="n">
        <v>0</v>
      </c>
      <c r="AK19" s="16" t="inlineStr">
        <is>
          <t>high</t>
        </is>
      </c>
      <c r="AL19" s="22" t="inlineStr">
        <is>
          <t>BRANCH: 5,444,098 nodes (1747/var)</t>
        </is>
      </c>
      <c r="AM19" s="22" t="n"/>
    </row>
    <row r="20" ht="60" customHeight="1">
      <c r="A20" s="16" t="n">
        <v>82</v>
      </c>
      <c r="B20" s="16" t="inlineStr">
        <is>
          <t>branching_heavy::supportcase7</t>
        </is>
      </c>
      <c r="C20" s="16" t="inlineStr">
        <is>
          <t>branching_heavy</t>
        </is>
      </c>
      <c r="D20" s="16" t="inlineStr">
        <is>
          <t>supportcase7</t>
        </is>
      </c>
      <c r="E20" s="17" t="n">
        <v>138844</v>
      </c>
      <c r="F20" s="17" t="n">
        <v>6532</v>
      </c>
      <c r="G20" s="17" t="n">
        <v>2845545</v>
      </c>
      <c r="H20" s="16" t="inlineStr">
        <is>
          <t>optimal</t>
        </is>
      </c>
      <c r="I20" s="16" t="inlineStr">
        <is>
          <t>finished</t>
        </is>
      </c>
      <c r="J20" s="18" t="n">
        <v>38.770527014</v>
      </c>
      <c r="K20" s="17" t="n">
        <v>2049</v>
      </c>
      <c r="L20" s="17" t="n">
        <v>275</v>
      </c>
      <c r="M20" s="17" t="n">
        <v>1271</v>
      </c>
      <c r="N20" s="17" t="n">
        <v>0</v>
      </c>
      <c r="O20" s="19" t="n">
        <v>0.913082308202011</v>
      </c>
      <c r="P20" s="19" t="n">
        <v>0.485609308022045</v>
      </c>
      <c r="Q20" s="19" t="n">
        <v>7.857261172795959e-05</v>
      </c>
      <c r="R20" s="20" t="n">
        <v>-1601.36146637144</v>
      </c>
      <c r="S20" s="20" t="n">
        <v>-1132.31213256253</v>
      </c>
      <c r="T20" s="20" t="n">
        <v>0.0019806401428941</v>
      </c>
      <c r="U20" s="16" t="n">
        <v>0</v>
      </c>
      <c r="V20" s="16" t="n">
        <v>0</v>
      </c>
      <c r="W20" s="16" t="n">
        <v>0</v>
      </c>
      <c r="X20" s="16" t="n">
        <v>0</v>
      </c>
      <c r="Y20" s="16" t="n">
        <v>0</v>
      </c>
      <c r="Z20" s="16" t="n">
        <v>0</v>
      </c>
      <c r="AA20" s="16" t="n">
        <v>0</v>
      </c>
      <c r="AB20" s="16" t="n">
        <v>0</v>
      </c>
      <c r="AC20" s="16" t="n">
        <v>0</v>
      </c>
      <c r="AD20" s="16" t="n">
        <v>0</v>
      </c>
      <c r="AE20" s="16" t="n">
        <v>0</v>
      </c>
      <c r="AF20" s="21" t="n">
        <v>0</v>
      </c>
      <c r="AG20" s="21" t="n">
        <v>0</v>
      </c>
      <c r="AH20" s="21" t="n">
        <v>0</v>
      </c>
      <c r="AI20" s="21" t="n">
        <v>0</v>
      </c>
      <c r="AJ20" s="21" t="n">
        <v>0</v>
      </c>
      <c r="AK20" s="16" t="inlineStr">
        <is>
          <t>med</t>
        </is>
      </c>
      <c r="AL20" s="22" t="inlineStr">
        <is>
          <t>HEALTHY: no bottlenecks detected (optimal in 39s)</t>
        </is>
      </c>
      <c r="AM20" s="22" t="n"/>
    </row>
    <row r="21" ht="60" customHeight="1">
      <c r="A21" s="16" t="n">
        <v>89</v>
      </c>
      <c r="B21" s="16" t="inlineStr">
        <is>
          <t>branching_heavy::wachplan</t>
        </is>
      </c>
      <c r="C21" s="16" t="inlineStr">
        <is>
          <t>branching_heavy</t>
        </is>
      </c>
      <c r="D21" s="16" t="inlineStr">
        <is>
          <t>wachplan</t>
        </is>
      </c>
      <c r="E21" s="17" t="n">
        <v>3361</v>
      </c>
      <c r="F21" s="17" t="n">
        <v>1553</v>
      </c>
      <c r="G21" s="17" t="n">
        <v>89361</v>
      </c>
      <c r="H21" s="16" t="inlineStr">
        <is>
          <t>feasible</t>
        </is>
      </c>
      <c r="I21" s="16" t="inlineStr">
        <is>
          <t>timeout</t>
        </is>
      </c>
      <c r="J21" s="18" t="n">
        <v>3600.397794739</v>
      </c>
      <c r="K21" s="17" t="n">
        <v>2491924</v>
      </c>
      <c r="L21" s="17" t="n">
        <v>1166172310</v>
      </c>
      <c r="M21" s="17" t="n">
        <v>2985</v>
      </c>
      <c r="N21" s="17" t="n">
        <v>0</v>
      </c>
      <c r="O21" s="19" t="n">
        <v>0.319250223147873</v>
      </c>
      <c r="P21" s="19" t="n">
        <v>0.581455247907276</v>
      </c>
      <c r="Q21" s="19" t="n">
        <v>0.124999999999997</v>
      </c>
      <c r="R21" s="20" t="n">
        <v>-9</v>
      </c>
      <c r="S21" s="20" t="n">
        <v>-9</v>
      </c>
      <c r="T21" s="20" t="n">
        <v>346971.826837251</v>
      </c>
      <c r="U21" s="16" t="n">
        <v>0</v>
      </c>
      <c r="V21" s="16" t="n">
        <v>1</v>
      </c>
      <c r="W21" s="16" t="n">
        <v>1</v>
      </c>
      <c r="X21" s="16" t="n">
        <v>1</v>
      </c>
      <c r="Y21" s="16" t="n">
        <v>1</v>
      </c>
      <c r="Z21" s="16" t="n">
        <v>0</v>
      </c>
      <c r="AA21" s="16" t="n">
        <v>1</v>
      </c>
      <c r="AB21" s="16" t="n">
        <v>1</v>
      </c>
      <c r="AC21" s="16" t="n">
        <v>1</v>
      </c>
      <c r="AD21" s="16" t="n">
        <v>1</v>
      </c>
      <c r="AE21" s="16" t="n">
        <v>0</v>
      </c>
      <c r="AF21" s="21" t="n">
        <v>1</v>
      </c>
      <c r="AG21" s="21" t="n">
        <v>1</v>
      </c>
      <c r="AH21" s="21" t="n">
        <v>1</v>
      </c>
      <c r="AI21" s="21" t="n">
        <v>1</v>
      </c>
      <c r="AJ21" s="21" t="n">
        <v>0</v>
      </c>
      <c r="AK21" s="16" t="inlineStr">
        <is>
          <t>high</t>
        </is>
      </c>
      <c r="AL21" s="22" t="inlineStr">
        <is>
          <t>WEAK?: moderate 12.5% gap; borderline; BRANCH: 2,491,924 nodes (large absolute count); CUTS: 2985 cuts generated, dual unchanged; DEGEN: 1,166,172,310 LP iter (346971.8/var)</t>
        </is>
      </c>
      <c r="AM21" s="22" t="n"/>
    </row>
    <row r="22" ht="60" customHeight="1">
      <c r="A22" s="16" t="n">
        <v>100</v>
      </c>
      <c r="B22" s="16" t="inlineStr">
        <is>
          <t>heuristic_heavy::decomp2</t>
        </is>
      </c>
      <c r="C22" s="16" t="inlineStr">
        <is>
          <t>heuristic_heavy</t>
        </is>
      </c>
      <c r="D22" s="16" t="inlineStr">
        <is>
          <t>decomp2</t>
        </is>
      </c>
      <c r="E22" s="17" t="n">
        <v>14387</v>
      </c>
      <c r="F22" s="17" t="n">
        <v>10765</v>
      </c>
      <c r="G22" s="17" t="n">
        <v>64073</v>
      </c>
      <c r="H22" s="16" t="inlineStr">
        <is>
          <t>optimal</t>
        </is>
      </c>
      <c r="I22" s="16" t="inlineStr">
        <is>
          <t>finished</t>
        </is>
      </c>
      <c r="J22" s="18" t="n">
        <v>18.519834411</v>
      </c>
      <c r="K22" s="17" t="n">
        <v>11355</v>
      </c>
      <c r="L22" s="17" t="n">
        <v>289</v>
      </c>
      <c r="M22" s="17" t="n">
        <v>1469</v>
      </c>
      <c r="N22" s="17" t="n">
        <v>0</v>
      </c>
      <c r="O22" s="19" t="n">
        <v>0.608257454646556</v>
      </c>
      <c r="P22" s="19" t="n">
        <v>0.5072921504876921</v>
      </c>
      <c r="Q22" s="19" t="n">
        <v>0</v>
      </c>
      <c r="R22" s="20" t="n">
        <v>-160</v>
      </c>
      <c r="S22" s="20" t="n">
        <v>-160</v>
      </c>
      <c r="T22" s="20" t="n">
        <v>0.0200875790644331</v>
      </c>
      <c r="U22" s="16" t="n">
        <v>0</v>
      </c>
      <c r="V22" s="16" t="n">
        <v>0</v>
      </c>
      <c r="W22" s="16" t="n">
        <v>0</v>
      </c>
      <c r="X22" s="16" t="n">
        <v>1</v>
      </c>
      <c r="Y22" s="16" t="n">
        <v>0</v>
      </c>
      <c r="Z22" s="16" t="n">
        <v>0</v>
      </c>
      <c r="AA22" s="16" t="n">
        <v>0</v>
      </c>
      <c r="AB22" s="16" t="n">
        <v>0</v>
      </c>
      <c r="AC22" s="16" t="n">
        <v>0</v>
      </c>
      <c r="AD22" s="16" t="n">
        <v>0</v>
      </c>
      <c r="AE22" s="16" t="n">
        <v>0</v>
      </c>
      <c r="AF22" s="21" t="n">
        <v>0</v>
      </c>
      <c r="AG22" s="21" t="n">
        <v>0</v>
      </c>
      <c r="AH22" s="21" t="n">
        <v>0</v>
      </c>
      <c r="AI22" s="21" t="n">
        <v>0</v>
      </c>
      <c r="AJ22" s="21" t="n">
        <v>0</v>
      </c>
      <c r="AK22" s="16" t="inlineStr">
        <is>
          <t>med</t>
        </is>
      </c>
      <c r="AL22" s="22" t="inlineStr">
        <is>
          <t>CUTS overruled: 1469 cuts but solver found OPTIMAL (gap=0); cuts may have helped close gap; HEALTHY: no bottlenecks detected (optimal in 19s)</t>
        </is>
      </c>
      <c r="AM22" s="22" t="n"/>
    </row>
    <row r="23" ht="60" customHeight="1">
      <c r="A23" s="16" t="n">
        <v>108</v>
      </c>
      <c r="B23" s="16" t="inlineStr">
        <is>
          <t>heuristic_heavy::gen-ip054</t>
        </is>
      </c>
      <c r="C23" s="16" t="inlineStr">
        <is>
          <t>heuristic_heavy</t>
        </is>
      </c>
      <c r="D23" s="16" t="inlineStr">
        <is>
          <t>gen-ip054</t>
        </is>
      </c>
      <c r="E23" s="17" t="n">
        <v>30</v>
      </c>
      <c r="F23" s="17" t="n">
        <v>27</v>
      </c>
      <c r="G23" s="17" t="n">
        <v>532</v>
      </c>
      <c r="H23" s="16" t="inlineStr">
        <is>
          <t>optimal</t>
        </is>
      </c>
      <c r="I23" s="16" t="inlineStr">
        <is>
          <t>finished</t>
        </is>
      </c>
      <c r="J23" s="18" t="n">
        <v>151.948282312</v>
      </c>
      <c r="K23" s="17" t="n">
        <v>11989707</v>
      </c>
      <c r="L23" s="17" t="n">
        <v>38</v>
      </c>
      <c r="M23" s="17" t="n">
        <v>45</v>
      </c>
      <c r="N23" s="17" t="n">
        <v>0</v>
      </c>
      <c r="O23" s="19" t="n">
        <v>0</v>
      </c>
      <c r="P23" s="19" t="n">
        <v>0</v>
      </c>
      <c r="Q23" s="19" t="n">
        <v>9.42979851428401e-05</v>
      </c>
      <c r="R23" s="20" t="n">
        <v>6766.21757610034</v>
      </c>
      <c r="S23" s="20" t="n">
        <v>6840.32055251555</v>
      </c>
      <c r="T23" s="20" t="n">
        <v>1.26666666666667</v>
      </c>
      <c r="U23" s="16" t="n">
        <v>0</v>
      </c>
      <c r="V23" s="16" t="n">
        <v>0</v>
      </c>
      <c r="W23" s="16" t="n">
        <v>1</v>
      </c>
      <c r="X23" s="16" t="n">
        <v>0</v>
      </c>
      <c r="Y23" s="16" t="n">
        <v>1</v>
      </c>
      <c r="Z23" s="16" t="n">
        <v>1</v>
      </c>
      <c r="AA23" s="16" t="n">
        <v>0</v>
      </c>
      <c r="AB23" s="16" t="n">
        <v>1</v>
      </c>
      <c r="AC23" s="16" t="n">
        <v>0</v>
      </c>
      <c r="AD23" s="16" t="n">
        <v>0</v>
      </c>
      <c r="AE23" s="16" t="n">
        <v>0</v>
      </c>
      <c r="AF23" s="21" t="n">
        <v>0</v>
      </c>
      <c r="AG23" s="21" t="n">
        <v>1</v>
      </c>
      <c r="AH23" s="21" t="n">
        <v>0</v>
      </c>
      <c r="AI23" s="21" t="n">
        <v>0</v>
      </c>
      <c r="AJ23" s="21" t="n">
        <v>0</v>
      </c>
      <c r="AK23" s="16" t="inlineStr">
        <is>
          <t>med</t>
        </is>
      </c>
      <c r="AL23" s="22" t="inlineStr">
        <is>
          <t>BRANCH: 11,989,707 nodes (399657/var); DEGEN overruled: only 38 LP iter; tiny problem; PRESOLVE overruled: tiny problem (30 vars, 27 cons); little for presolve to reduce</t>
        </is>
      </c>
      <c r="AM23" s="22" t="n"/>
    </row>
    <row r="24" ht="60" customHeight="1">
      <c r="A24" s="16" t="n">
        <v>120</v>
      </c>
      <c r="B24" s="16" t="inlineStr">
        <is>
          <t>heuristic_heavy::mcsched</t>
        </is>
      </c>
      <c r="C24" s="16" t="inlineStr">
        <is>
          <t>heuristic_heavy</t>
        </is>
      </c>
      <c r="D24" s="16" t="inlineStr">
        <is>
          <t>mcsched</t>
        </is>
      </c>
      <c r="E24" s="17" t="n">
        <v>1747</v>
      </c>
      <c r="F24" s="17" t="n">
        <v>2107</v>
      </c>
      <c r="G24" s="17" t="n">
        <v>8088</v>
      </c>
      <c r="H24" s="16" t="inlineStr">
        <is>
          <t>optimal</t>
        </is>
      </c>
      <c r="I24" s="16" t="inlineStr">
        <is>
          <t>finished</t>
        </is>
      </c>
      <c r="J24" s="18" t="n">
        <v>17.544737248</v>
      </c>
      <c r="K24" s="17" t="n">
        <v>66187</v>
      </c>
      <c r="L24" s="17" t="n">
        <v>930</v>
      </c>
      <c r="M24" s="17" t="n">
        <v>3349</v>
      </c>
      <c r="N24" s="17" t="n">
        <v>0</v>
      </c>
      <c r="O24" s="19" t="n">
        <v>0.144819690898683</v>
      </c>
      <c r="P24" s="19" t="n">
        <v>0.121025154247746</v>
      </c>
      <c r="Q24" s="19" t="n">
        <v>0</v>
      </c>
      <c r="R24" s="20" t="n">
        <v>193776.546192626</v>
      </c>
      <c r="S24" s="20" t="n">
        <v>211913</v>
      </c>
      <c r="T24" s="20" t="n">
        <v>0.532341156267888</v>
      </c>
      <c r="U24" s="16" t="n">
        <v>0</v>
      </c>
      <c r="V24" s="16" t="n">
        <v>0</v>
      </c>
      <c r="W24" s="16" t="n">
        <v>0</v>
      </c>
      <c r="X24" s="16" t="n">
        <v>0</v>
      </c>
      <c r="Y24" s="16" t="n">
        <v>0</v>
      </c>
      <c r="Z24" s="16" t="n">
        <v>0</v>
      </c>
      <c r="AA24" s="16" t="n">
        <v>0</v>
      </c>
      <c r="AB24" s="16" t="n">
        <v>0</v>
      </c>
      <c r="AC24" s="16" t="n">
        <v>0</v>
      </c>
      <c r="AD24" s="16" t="n">
        <v>0</v>
      </c>
      <c r="AE24" s="16" t="n">
        <v>0</v>
      </c>
      <c r="AF24" s="21" t="n">
        <v>0</v>
      </c>
      <c r="AG24" s="21" t="n">
        <v>0</v>
      </c>
      <c r="AH24" s="21" t="n">
        <v>0</v>
      </c>
      <c r="AI24" s="21" t="n">
        <v>0</v>
      </c>
      <c r="AJ24" s="21" t="n">
        <v>0</v>
      </c>
      <c r="AK24" s="16" t="inlineStr">
        <is>
          <t>med</t>
        </is>
      </c>
      <c r="AL24" s="22" t="inlineStr">
        <is>
          <t>HEALTHY: no bottlenecks detected (optimal in 18s)</t>
        </is>
      </c>
      <c r="AM24" s="22" t="n"/>
    </row>
    <row r="25" ht="60" customHeight="1">
      <c r="A25" s="16" t="n">
        <v>122</v>
      </c>
      <c r="B25" s="16" t="inlineStr">
        <is>
          <t>heuristic_heavy::n5-3</t>
        </is>
      </c>
      <c r="C25" s="16" t="inlineStr">
        <is>
          <t>heuristic_heavy</t>
        </is>
      </c>
      <c r="D25" s="16" t="inlineStr">
        <is>
          <t>n5-3</t>
        </is>
      </c>
      <c r="E25" s="17" t="n">
        <v>2550</v>
      </c>
      <c r="F25" s="17" t="n">
        <v>1062</v>
      </c>
      <c r="G25" s="17" t="n">
        <v>9900</v>
      </c>
      <c r="H25" s="16" t="inlineStr">
        <is>
          <t>optimal</t>
        </is>
      </c>
      <c r="I25" s="16" t="inlineStr">
        <is>
          <t>finished</t>
        </is>
      </c>
      <c r="J25" s="18" t="n">
        <v>163.743630906</v>
      </c>
      <c r="K25" s="17" t="n">
        <v>1137477</v>
      </c>
      <c r="L25" s="17" t="n">
        <v>408</v>
      </c>
      <c r="M25" s="17" t="n">
        <v>2139</v>
      </c>
      <c r="N25" s="17" t="n">
        <v>0</v>
      </c>
      <c r="O25" s="19" t="n">
        <v>0.159607843137255</v>
      </c>
      <c r="P25" s="19" t="n">
        <v>0.212806026365348</v>
      </c>
      <c r="Q25" s="19" t="n">
        <v>8.15191133634633e-05</v>
      </c>
      <c r="R25" s="20" t="n">
        <v>4677.46100707973</v>
      </c>
      <c r="S25" s="20" t="n">
        <v>8104.33928758619</v>
      </c>
      <c r="T25" s="20" t="n">
        <v>0.16</v>
      </c>
      <c r="U25" s="16" t="n">
        <v>0</v>
      </c>
      <c r="V25" s="16" t="n">
        <v>0</v>
      </c>
      <c r="W25" s="16" t="n">
        <v>1</v>
      </c>
      <c r="X25" s="16" t="n">
        <v>0</v>
      </c>
      <c r="Y25" s="16" t="n">
        <v>0</v>
      </c>
      <c r="Z25" s="16" t="n">
        <v>0</v>
      </c>
      <c r="AA25" s="16" t="n">
        <v>0</v>
      </c>
      <c r="AB25" s="16" t="n">
        <v>1</v>
      </c>
      <c r="AC25" s="16" t="n">
        <v>0</v>
      </c>
      <c r="AD25" s="16" t="n">
        <v>0</v>
      </c>
      <c r="AE25" s="16" t="n">
        <v>0</v>
      </c>
      <c r="AF25" s="21" t="n">
        <v>0</v>
      </c>
      <c r="AG25" s="21" t="n">
        <v>1</v>
      </c>
      <c r="AH25" s="21" t="n">
        <v>0</v>
      </c>
      <c r="AI25" s="21" t="n">
        <v>0</v>
      </c>
      <c r="AJ25" s="21" t="n">
        <v>0</v>
      </c>
      <c r="AK25" s="16" t="inlineStr">
        <is>
          <t>high</t>
        </is>
      </c>
      <c r="AL25" s="22" t="inlineStr">
        <is>
          <t>BRANCH: 1,137,477 nodes (large absolute count)</t>
        </is>
      </c>
      <c r="AM25" s="22" t="n"/>
    </row>
    <row r="26" ht="60" customHeight="1">
      <c r="A26" s="16" t="n">
        <v>129</v>
      </c>
      <c r="B26" s="16" t="inlineStr">
        <is>
          <t>heuristic_heavy::neos-5104907-jarama</t>
        </is>
      </c>
      <c r="C26" s="16" t="inlineStr">
        <is>
          <t>heuristic_heavy</t>
        </is>
      </c>
      <c r="D26" s="16" t="inlineStr">
        <is>
          <t>neos-5104907-jarama</t>
        </is>
      </c>
      <c r="E26" s="17" t="n">
        <v>345856</v>
      </c>
      <c r="F26" s="17" t="n">
        <v>489818</v>
      </c>
      <c r="G26" s="17" t="n">
        <v>2053548</v>
      </c>
      <c r="H26" s="16" t="inlineStr">
        <is>
          <t>no_solution</t>
        </is>
      </c>
      <c r="I26" s="16" t="inlineStr">
        <is>
          <t>timeout</t>
        </is>
      </c>
      <c r="J26" s="18" t="n"/>
      <c r="K26" s="17" t="n">
        <v>0</v>
      </c>
      <c r="L26" s="17" t="n">
        <v>0</v>
      </c>
      <c r="M26" s="17" t="n">
        <v>0</v>
      </c>
      <c r="N26" s="17" t="n">
        <v>0</v>
      </c>
      <c r="O26" s="19" t="n">
        <v>0.464357998704663</v>
      </c>
      <c r="P26" s="19" t="n">
        <v>0.484038969576455</v>
      </c>
      <c r="Q26" s="19" t="n"/>
      <c r="R26" s="20" t="n"/>
      <c r="S26" s="20" t="n"/>
      <c r="T26" s="20" t="n">
        <v>0</v>
      </c>
      <c r="U26" s="16" t="n">
        <v>0</v>
      </c>
      <c r="V26" s="16" t="n">
        <v>1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>1</v>
      </c>
      <c r="AB26" s="16" t="n">
        <v>0</v>
      </c>
      <c r="AC26" s="16" t="n">
        <v>0</v>
      </c>
      <c r="AD26" s="16" t="n">
        <v>0</v>
      </c>
      <c r="AE26" s="16" t="n">
        <v>0</v>
      </c>
      <c r="AF26" s="21" t="n">
        <v>1</v>
      </c>
      <c r="AG26" s="21" t="n">
        <v>0</v>
      </c>
      <c r="AH26" s="21" t="n">
        <v>0</v>
      </c>
      <c r="AI26" s="21" t="n">
        <v>0</v>
      </c>
      <c r="AJ26" s="21" t="n">
        <v>0</v>
      </c>
      <c r="AK26" s="16" t="inlineStr">
        <is>
          <t>high</t>
        </is>
      </c>
      <c r="AL26" s="22" t="inlineStr">
        <is>
          <t>WEAK: no solution found, not solved in presolve</t>
        </is>
      </c>
      <c r="AM26" s="22" t="n"/>
    </row>
    <row r="27" ht="60" customHeight="1">
      <c r="A27" s="16" t="n">
        <v>131</v>
      </c>
      <c r="B27" s="16" t="inlineStr">
        <is>
          <t>heuristic_heavy::neos-5192052-neckar</t>
        </is>
      </c>
      <c r="C27" s="16" t="inlineStr">
        <is>
          <t>heuristic_heavy</t>
        </is>
      </c>
      <c r="D27" s="16" t="inlineStr">
        <is>
          <t>neos-5192052-neckar</t>
        </is>
      </c>
      <c r="E27" s="17" t="n">
        <v>180</v>
      </c>
      <c r="F27" s="17" t="n">
        <v>57</v>
      </c>
      <c r="G27" s="17" t="n">
        <v>545</v>
      </c>
      <c r="H27" s="16" t="inlineStr">
        <is>
          <t>optimal</t>
        </is>
      </c>
      <c r="I27" s="16" t="inlineStr">
        <is>
          <t>finished</t>
        </is>
      </c>
      <c r="J27" s="18" t="n">
        <v>1.179824038</v>
      </c>
      <c r="K27" s="17" t="n">
        <v>9</v>
      </c>
      <c r="L27" s="17" t="n">
        <v>46</v>
      </c>
      <c r="M27" s="17" t="n">
        <v>14</v>
      </c>
      <c r="N27" s="17" t="n">
        <v>0</v>
      </c>
      <c r="O27" s="19" t="n">
        <v>0.116666666666667</v>
      </c>
      <c r="P27" s="19" t="n">
        <v>0.0175438596491228</v>
      </c>
      <c r="Q27" s="19" t="n">
        <v>0</v>
      </c>
      <c r="R27" s="20" t="n">
        <v>-11980000</v>
      </c>
      <c r="S27" s="20" t="n">
        <v>-11670000</v>
      </c>
      <c r="T27" s="20" t="n">
        <v>0.255555555555556</v>
      </c>
      <c r="U27" s="16" t="n">
        <v>0</v>
      </c>
      <c r="V27" s="16" t="n">
        <v>0</v>
      </c>
      <c r="W27" s="16" t="n">
        <v>0</v>
      </c>
      <c r="X27" s="16" t="n">
        <v>0</v>
      </c>
      <c r="Y27" s="16" t="n">
        <v>0</v>
      </c>
      <c r="Z27" s="16" t="n">
        <v>0</v>
      </c>
      <c r="AA27" s="16" t="n">
        <v>0</v>
      </c>
      <c r="AB27" s="16" t="n">
        <v>0</v>
      </c>
      <c r="AC27" s="16" t="n">
        <v>0</v>
      </c>
      <c r="AD27" s="16" t="n">
        <v>0</v>
      </c>
      <c r="AE27" s="16" t="n">
        <v>0</v>
      </c>
      <c r="AF27" s="21" t="n">
        <v>0</v>
      </c>
      <c r="AG27" s="21" t="n">
        <v>0</v>
      </c>
      <c r="AH27" s="21" t="n">
        <v>0</v>
      </c>
      <c r="AI27" s="21" t="n">
        <v>0</v>
      </c>
      <c r="AJ27" s="21" t="n">
        <v>0</v>
      </c>
      <c r="AK27" s="16" t="inlineStr">
        <is>
          <t>med</t>
        </is>
      </c>
      <c r="AL27" s="22" t="inlineStr">
        <is>
          <t>HEALTHY: no bottlenecks detected (optimal in 1s)</t>
        </is>
      </c>
      <c r="AM27" s="22" t="n"/>
    </row>
    <row r="28" ht="60" customHeight="1">
      <c r="A28" s="16" t="n">
        <v>147</v>
      </c>
      <c r="B28" s="16" t="inlineStr">
        <is>
          <t>heuristic_heavy::ns1952667</t>
        </is>
      </c>
      <c r="C28" s="16" t="inlineStr">
        <is>
          <t>heuristic_heavy</t>
        </is>
      </c>
      <c r="D28" s="16" t="inlineStr">
        <is>
          <t>ns1952667</t>
        </is>
      </c>
      <c r="E28" s="17" t="n">
        <v>13264</v>
      </c>
      <c r="F28" s="17" t="n">
        <v>41</v>
      </c>
      <c r="G28" s="17" t="n">
        <v>335643</v>
      </c>
      <c r="H28" s="16" t="inlineStr">
        <is>
          <t>no_solution</t>
        </is>
      </c>
      <c r="I28" s="16" t="inlineStr">
        <is>
          <t>timeout</t>
        </is>
      </c>
      <c r="J28" s="18" t="n">
        <v>3600.241944025</v>
      </c>
      <c r="K28" s="17" t="n">
        <v>1383661</v>
      </c>
      <c r="L28" s="17" t="n">
        <v>42</v>
      </c>
      <c r="M28" s="17" t="n">
        <v>1200</v>
      </c>
      <c r="N28" s="17" t="n">
        <v>0</v>
      </c>
      <c r="O28" s="19" t="n">
        <v>0.0172647768395657</v>
      </c>
      <c r="P28" s="19" t="n">
        <v>0.024390243902439</v>
      </c>
      <c r="Q28" s="19" t="n"/>
      <c r="R28" s="20" t="n">
        <v>0</v>
      </c>
      <c r="S28" s="20" t="n">
        <v>0</v>
      </c>
      <c r="T28" s="20" t="n">
        <v>0.0031664656212303</v>
      </c>
      <c r="U28" s="16" t="n">
        <v>0</v>
      </c>
      <c r="V28" s="16" t="n">
        <v>1</v>
      </c>
      <c r="W28" s="16" t="n">
        <v>1</v>
      </c>
      <c r="X28" s="16" t="n">
        <v>1</v>
      </c>
      <c r="Y28" s="16" t="n">
        <v>0</v>
      </c>
      <c r="Z28" s="16" t="n">
        <v>0</v>
      </c>
      <c r="AA28" s="16" t="n">
        <v>1</v>
      </c>
      <c r="AB28" s="16" t="n">
        <v>1</v>
      </c>
      <c r="AC28" s="16" t="n">
        <v>1</v>
      </c>
      <c r="AD28" s="16" t="n">
        <v>0</v>
      </c>
      <c r="AE28" s="16" t="n">
        <v>0</v>
      </c>
      <c r="AF28" s="21" t="n">
        <v>1</v>
      </c>
      <c r="AG28" s="21" t="n">
        <v>1</v>
      </c>
      <c r="AH28" s="21" t="n">
        <v>1</v>
      </c>
      <c r="AI28" s="21" t="n">
        <v>0</v>
      </c>
      <c r="AJ28" s="21" t="n">
        <v>0</v>
      </c>
      <c r="AK28" s="16" t="inlineStr">
        <is>
          <t>high</t>
        </is>
      </c>
      <c r="AL28" s="22" t="inlineStr">
        <is>
          <t>WEAK: no solution found, not solved in presolve; BRANCH: 1,383,661 nodes (large absolute count); CUTS: 1200 cuts generated, dual unchanged</t>
        </is>
      </c>
      <c r="AM28" s="22" t="n"/>
    </row>
    <row r="29" ht="60" customHeight="1">
      <c r="A29" s="16" t="n">
        <v>155</v>
      </c>
      <c r="B29" s="16" t="inlineStr">
        <is>
          <t>heuristic_heavy::piperout-08</t>
        </is>
      </c>
      <c r="C29" s="16" t="inlineStr">
        <is>
          <t>heuristic_heavy</t>
        </is>
      </c>
      <c r="D29" s="16" t="inlineStr">
        <is>
          <t>piperout-08</t>
        </is>
      </c>
      <c r="E29" s="17" t="n">
        <v>10399</v>
      </c>
      <c r="F29" s="17" t="n">
        <v>14589</v>
      </c>
      <c r="G29" s="17" t="n">
        <v>44959</v>
      </c>
      <c r="H29" s="16" t="inlineStr">
        <is>
          <t>optimal</t>
        </is>
      </c>
      <c r="I29" s="16" t="inlineStr">
        <is>
          <t>finished</t>
        </is>
      </c>
      <c r="J29" s="18" t="n">
        <v>31.529425492</v>
      </c>
      <c r="K29" s="17" t="n">
        <v>7036</v>
      </c>
      <c r="L29" s="17" t="n">
        <v>138</v>
      </c>
      <c r="M29" s="17" t="n">
        <v>5387</v>
      </c>
      <c r="N29" s="17" t="n">
        <v>0</v>
      </c>
      <c r="O29" s="19" t="n">
        <v>0.436580440426964</v>
      </c>
      <c r="P29" s="19" t="n">
        <v>0.531701967235589</v>
      </c>
      <c r="Q29" s="19" t="n">
        <v>0</v>
      </c>
      <c r="R29" s="20" t="n">
        <v>124955</v>
      </c>
      <c r="S29" s="20" t="n">
        <v>125055</v>
      </c>
      <c r="T29" s="20" t="n">
        <v>0.013270506779498</v>
      </c>
      <c r="U29" s="16" t="n">
        <v>0</v>
      </c>
      <c r="V29" s="16" t="n">
        <v>0</v>
      </c>
      <c r="W29" s="16" t="n">
        <v>0</v>
      </c>
      <c r="X29" s="16" t="n">
        <v>1</v>
      </c>
      <c r="Y29" s="16" t="n">
        <v>0</v>
      </c>
      <c r="Z29" s="16" t="n">
        <v>0</v>
      </c>
      <c r="AA29" s="16" t="n">
        <v>0</v>
      </c>
      <c r="AB29" s="16" t="n">
        <v>0</v>
      </c>
      <c r="AC29" s="16" t="n">
        <v>0</v>
      </c>
      <c r="AD29" s="16" t="n">
        <v>0</v>
      </c>
      <c r="AE29" s="16" t="n">
        <v>0</v>
      </c>
      <c r="AF29" s="21" t="n">
        <v>0</v>
      </c>
      <c r="AG29" s="21" t="n">
        <v>0</v>
      </c>
      <c r="AH29" s="21" t="n">
        <v>0</v>
      </c>
      <c r="AI29" s="21" t="n">
        <v>0</v>
      </c>
      <c r="AJ29" s="21" t="n">
        <v>0</v>
      </c>
      <c r="AK29" s="16" t="inlineStr">
        <is>
          <t>med</t>
        </is>
      </c>
      <c r="AL29" s="22" t="inlineStr">
        <is>
          <t>CUTS overruled: 5387 cuts but solver found OPTIMAL (gap=0); cuts may have helped close gap; HEALTHY: no bottlenecks detected (optimal in 32s)</t>
        </is>
      </c>
      <c r="AM29" s="22" t="n"/>
    </row>
    <row r="30" ht="60" customHeight="1">
      <c r="A30" s="16" t="n">
        <v>164</v>
      </c>
      <c r="B30" s="16" t="inlineStr">
        <is>
          <t>heuristic_heavy::roll3000</t>
        </is>
      </c>
      <c r="C30" s="16" t="inlineStr">
        <is>
          <t>heuristic_heavy</t>
        </is>
      </c>
      <c r="D30" s="16" t="inlineStr">
        <is>
          <t>roll3000</t>
        </is>
      </c>
      <c r="E30" s="17" t="n">
        <v>1166</v>
      </c>
      <c r="F30" s="17" t="n">
        <v>2295</v>
      </c>
      <c r="G30" s="17" t="n">
        <v>29386</v>
      </c>
      <c r="H30" s="16" t="inlineStr">
        <is>
          <t>no_solution</t>
        </is>
      </c>
      <c r="I30" s="16" t="inlineStr">
        <is>
          <t>timeout</t>
        </is>
      </c>
      <c r="J30" s="18" t="n"/>
      <c r="K30" s="17" t="n">
        <v>0</v>
      </c>
      <c r="L30" s="17" t="n">
        <v>0</v>
      </c>
      <c r="M30" s="17" t="n">
        <v>0</v>
      </c>
      <c r="N30" s="17" t="n">
        <v>0</v>
      </c>
      <c r="O30" s="19" t="n">
        <v>0.135506003430532</v>
      </c>
      <c r="P30" s="19" t="n">
        <v>0.343355119825708</v>
      </c>
      <c r="Q30" s="19" t="n"/>
      <c r="R30" s="20" t="n"/>
      <c r="S30" s="20" t="n"/>
      <c r="T30" s="20" t="n">
        <v>0</v>
      </c>
      <c r="U30" s="16" t="n">
        <v>0</v>
      </c>
      <c r="V30" s="16" t="n">
        <v>1</v>
      </c>
      <c r="W30" s="16" t="n">
        <v>0</v>
      </c>
      <c r="X30" s="16" t="n">
        <v>0</v>
      </c>
      <c r="Y30" s="16" t="n">
        <v>0</v>
      </c>
      <c r="Z30" s="16" t="n">
        <v>0</v>
      </c>
      <c r="AA30" s="16" t="n">
        <v>1</v>
      </c>
      <c r="AB30" s="16" t="n">
        <v>0</v>
      </c>
      <c r="AC30" s="16" t="n">
        <v>0</v>
      </c>
      <c r="AD30" s="16" t="n">
        <v>0</v>
      </c>
      <c r="AE30" s="16" t="n">
        <v>0</v>
      </c>
      <c r="AF30" s="21" t="n">
        <v>1</v>
      </c>
      <c r="AG30" s="21" t="n">
        <v>0</v>
      </c>
      <c r="AH30" s="21" t="n">
        <v>0</v>
      </c>
      <c r="AI30" s="21" t="n">
        <v>0</v>
      </c>
      <c r="AJ30" s="21" t="n">
        <v>0</v>
      </c>
      <c r="AK30" s="16" t="inlineStr">
        <is>
          <t>high</t>
        </is>
      </c>
      <c r="AL30" s="22" t="inlineStr">
        <is>
          <t>WEAK: no solution found, not solved in presolve</t>
        </is>
      </c>
      <c r="AM30" s="22" t="n"/>
    </row>
    <row r="31" ht="60" customHeight="1">
      <c r="A31" s="16" t="n">
        <v>165</v>
      </c>
      <c r="B31" s="16" t="inlineStr">
        <is>
          <t>heuristic_heavy::savsched1</t>
        </is>
      </c>
      <c r="C31" s="16" t="inlineStr">
        <is>
          <t>heuristic_heavy</t>
        </is>
      </c>
      <c r="D31" s="16" t="inlineStr">
        <is>
          <t>savsched1</t>
        </is>
      </c>
      <c r="E31" s="17" t="n">
        <v>328575</v>
      </c>
      <c r="F31" s="17" t="n">
        <v>295989</v>
      </c>
      <c r="G31" s="17" t="n">
        <v>1770507</v>
      </c>
      <c r="H31" s="16" t="inlineStr">
        <is>
          <t>feasible</t>
        </is>
      </c>
      <c r="I31" s="16" t="inlineStr">
        <is>
          <t>timeout</t>
        </is>
      </c>
      <c r="J31" s="18" t="n">
        <v>3613.467376728</v>
      </c>
      <c r="K31" s="17" t="n">
        <v>963</v>
      </c>
      <c r="L31" s="17" t="n">
        <v>57997</v>
      </c>
      <c r="M31" s="17" t="n">
        <v>21394</v>
      </c>
      <c r="N31" s="17" t="n">
        <v>0</v>
      </c>
      <c r="O31" s="19" t="n">
        <v>0.0572898120672601</v>
      </c>
      <c r="P31" s="19" t="n">
        <v>0.547121683576079</v>
      </c>
      <c r="Q31" s="19" t="n">
        <v>0.08202255261079359</v>
      </c>
      <c r="R31" s="20" t="n">
        <v>2290.8000000001</v>
      </c>
      <c r="S31" s="20" t="n">
        <v>2982.23333333343</v>
      </c>
      <c r="T31" s="20" t="n">
        <v>0.176510690101195</v>
      </c>
      <c r="U31" s="16" t="n">
        <v>0</v>
      </c>
      <c r="V31" s="16" t="n">
        <v>1</v>
      </c>
      <c r="W31" s="16" t="n">
        <v>0</v>
      </c>
      <c r="X31" s="16" t="n">
        <v>0</v>
      </c>
      <c r="Y31" s="16" t="n">
        <v>0</v>
      </c>
      <c r="Z31" s="16" t="n">
        <v>0</v>
      </c>
      <c r="AA31" s="16" t="n">
        <v>1</v>
      </c>
      <c r="AB31" s="16" t="n">
        <v>0</v>
      </c>
      <c r="AC31" s="16" t="n">
        <v>0</v>
      </c>
      <c r="AD31" s="16" t="n">
        <v>0</v>
      </c>
      <c r="AE31" s="16" t="n">
        <v>0</v>
      </c>
      <c r="AF31" s="21" t="n">
        <v>1</v>
      </c>
      <c r="AG31" s="21" t="n">
        <v>0</v>
      </c>
      <c r="AH31" s="21" t="n">
        <v>0</v>
      </c>
      <c r="AI31" s="21" t="n">
        <v>0</v>
      </c>
      <c r="AJ31" s="21" t="n">
        <v>0</v>
      </c>
      <c r="AK31" s="16" t="inlineStr">
        <is>
          <t>low</t>
        </is>
      </c>
      <c r="AL31" s="22" t="inlineStr">
        <is>
          <t>WEAK?: moderate 8.2% gap; borderline</t>
        </is>
      </c>
      <c r="AM31" s="22" t="n"/>
    </row>
    <row r="32" ht="60" customHeight="1">
      <c r="A32" s="16" t="n">
        <v>182</v>
      </c>
      <c r="B32" s="16" t="inlineStr">
        <is>
          <t>ramsey::ramsey_r3_s3_n6</t>
        </is>
      </c>
      <c r="C32" s="16" t="inlineStr">
        <is>
          <t>ramsey</t>
        </is>
      </c>
      <c r="D32" s="16" t="inlineStr">
        <is>
          <t>ramsey_r3_s3_n6</t>
        </is>
      </c>
      <c r="E32" s="17" t="n">
        <v>16</v>
      </c>
      <c r="F32" s="17" t="n">
        <v>41</v>
      </c>
      <c r="G32" s="17" t="n">
        <v>121</v>
      </c>
      <c r="H32" s="16" t="inlineStr">
        <is>
          <t>no_solution</t>
        </is>
      </c>
      <c r="I32" s="16" t="inlineStr">
        <is>
          <t>finished</t>
        </is>
      </c>
      <c r="J32" s="18" t="n">
        <v>1.220350475</v>
      </c>
      <c r="K32" s="17" t="n">
        <v>39</v>
      </c>
      <c r="L32" s="17" t="n">
        <v>37741</v>
      </c>
      <c r="M32" s="17" t="n">
        <v>18</v>
      </c>
      <c r="N32" s="17" t="n">
        <v>0</v>
      </c>
      <c r="O32" s="19" t="n">
        <v>0.0625</v>
      </c>
      <c r="P32" s="19" t="n">
        <v>0.51219512195122</v>
      </c>
      <c r="Q32" s="19" t="n"/>
      <c r="R32" s="20" t="n">
        <v>0</v>
      </c>
      <c r="S32" s="20" t="n">
        <v>0</v>
      </c>
      <c r="T32" s="20" t="n">
        <v>2358.8125</v>
      </c>
      <c r="U32" s="16" t="n">
        <v>0</v>
      </c>
      <c r="V32" s="16" t="n">
        <v>1</v>
      </c>
      <c r="W32" s="16" t="n">
        <v>0</v>
      </c>
      <c r="X32" s="16" t="n">
        <v>0</v>
      </c>
      <c r="Y32" s="16" t="n">
        <v>1</v>
      </c>
      <c r="Z32" s="16" t="n">
        <v>0</v>
      </c>
      <c r="AA32" s="16" t="n">
        <v>1</v>
      </c>
      <c r="AB32" s="16" t="n">
        <v>0</v>
      </c>
      <c r="AC32" s="16" t="n">
        <v>0</v>
      </c>
      <c r="AD32" s="16" t="n">
        <v>1</v>
      </c>
      <c r="AE32" s="16" t="n">
        <v>0</v>
      </c>
      <c r="AF32" s="21" t="n">
        <v>1</v>
      </c>
      <c r="AG32" s="21" t="n">
        <v>0</v>
      </c>
      <c r="AH32" s="21" t="n">
        <v>0</v>
      </c>
      <c r="AI32" s="21" t="n">
        <v>1</v>
      </c>
      <c r="AJ32" s="21" t="n">
        <v>0</v>
      </c>
      <c r="AK32" s="16" t="inlineStr">
        <is>
          <t>high</t>
        </is>
      </c>
      <c r="AL32" s="22" t="inlineStr">
        <is>
          <t>WEAK: no solution found, not solved in presolve; DEGEN: 37,741 LP iter (2358.8/var)</t>
        </is>
      </c>
      <c r="AM32" s="22" t="n"/>
    </row>
  </sheetData>
  <mergeCells count="6">
    <mergeCell ref="A1:D1"/>
    <mergeCell ref="AK1:AM1"/>
    <mergeCell ref="V1:Z1"/>
    <mergeCell ref="AF1:AJ1"/>
    <mergeCell ref="AA1:AE1"/>
    <mergeCell ref="E1:U1"/>
  </mergeCells>
  <conditionalFormatting sqref="AF3:AJ32">
    <cfRule type="expression" priority="2" dxfId="0">
      <formula>AF3&lt;&gt;V3</formula>
    </cfRule>
  </conditionalFormatting>
  <dataValidations count="1">
    <dataValidation sqref="AF3:AJ32" showDropDown="0" showInputMessage="0" showErrorMessage="0" allowBlank="0" errorTitle="Invalid label" error="Use 0 or 1 only." promptTitle="Bottleneck label" prompt="Enter 0 (no) or 1 (yes)." type="list">
      <formula1>"0,1"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zoomScaleNormal="100" workbookViewId="0">
      <selection activeCell="E20" sqref="E20"/>
    </sheetView>
  </sheetViews>
  <sheetFormatPr baseColWidth="10" defaultColWidth="8.6640625" defaultRowHeight="15"/>
  <cols>
    <col width="30" customWidth="1" min="1" max="1"/>
    <col width="14" customWidth="1" min="2" max="3"/>
    <col width="16" customWidth="1" min="4" max="4"/>
  </cols>
  <sheetData>
    <row r="1" ht="18" customHeight="1">
      <c r="A1" s="23" t="inlineStr">
        <is>
          <t>Live summary of the gold labels</t>
        </is>
      </c>
    </row>
    <row r="3">
      <c r="A3" s="24" t="inlineStr">
        <is>
          <t>Per-label positive count</t>
        </is>
      </c>
      <c r="B3" s="24" t="inlineStr">
        <is>
          <t>gold (your)</t>
        </is>
      </c>
      <c r="C3" s="24" t="inlineStr">
        <is>
          <t>heuristic</t>
        </is>
      </c>
      <c r="D3" s="24" t="inlineStr">
        <is>
          <t>disagreements</t>
        </is>
      </c>
    </row>
    <row r="4">
      <c r="A4" t="inlineStr">
        <is>
          <t>weak_root_lp</t>
        </is>
      </c>
      <c r="B4">
        <f>SUM(Labels!AF3:AF32)</f>
        <v/>
      </c>
      <c r="C4">
        <f>SUM(Labels!V3:V32)</f>
        <v/>
      </c>
      <c r="D4">
        <f>SUMPRODUCT(--(Labels!AF3:AF32&lt;&gt;Labels!V3:V32))</f>
        <v/>
      </c>
    </row>
    <row r="5">
      <c r="A5" t="inlineStr">
        <is>
          <t>excessive_branching</t>
        </is>
      </c>
      <c r="B5">
        <f>SUM(Labels!AG3:AG32)</f>
        <v/>
      </c>
      <c r="C5">
        <f>SUM(Labels!W3:W32)</f>
        <v/>
      </c>
      <c r="D5">
        <f>SUMPRODUCT(--(Labels!AG3:AG32&lt;&gt;Labels!W3:W32))</f>
        <v/>
      </c>
    </row>
    <row r="6">
      <c r="A6" t="inlineStr">
        <is>
          <t>ineffective_cuts</t>
        </is>
      </c>
      <c r="B6">
        <f>SUM(Labels!AH3:AH32)</f>
        <v/>
      </c>
      <c r="C6">
        <f>SUM(Labels!X3:X32)</f>
        <v/>
      </c>
      <c r="D6">
        <f>SUMPRODUCT(--(Labels!AH3:AH32&lt;&gt;Labels!X3:X32))</f>
        <v/>
      </c>
    </row>
    <row r="7">
      <c r="A7" t="inlineStr">
        <is>
          <t>degeneracy</t>
        </is>
      </c>
      <c r="B7">
        <f>SUM(Labels!AI3:AI32)</f>
        <v/>
      </c>
      <c r="C7">
        <f>SUM(Labels!Y3:Y32)</f>
        <v/>
      </c>
      <c r="D7">
        <f>SUMPRODUCT(--(Labels!AI3:AI32&lt;&gt;Labels!Y3:Y32))</f>
        <v/>
      </c>
    </row>
    <row r="8">
      <c r="A8" t="inlineStr">
        <is>
          <t>presolve_weakness</t>
        </is>
      </c>
      <c r="B8">
        <f>SUM(Labels!AJ3:AJ32)</f>
        <v/>
      </c>
      <c r="C8">
        <f>SUM(Labels!Z3:Z32)</f>
        <v/>
      </c>
      <c r="D8">
        <f>SUMPRODUCT(--(Labels!AJ3:AJ32&lt;&gt;Labels!Z3:Z32))</f>
        <v/>
      </c>
    </row>
    <row r="11">
      <c r="A11" s="24" t="inlineStr">
        <is>
          <t>Gold labels per run (cardinality)</t>
        </is>
      </c>
    </row>
    <row r="12">
      <c r="A12" t="inlineStr">
        <is>
          <t>runs with 0 labels</t>
        </is>
      </c>
      <c r="B12">
        <f>SUMPRODUCT(--(MMULT(--(Labels!AF3:AJ32),{1;1;1;1;1})=0))</f>
        <v/>
      </c>
    </row>
    <row r="13">
      <c r="A13" t="inlineStr">
        <is>
          <t>runs with 1 label</t>
        </is>
      </c>
      <c r="B13">
        <f>SUMPRODUCT(--(MMULT(--(Labels!AF3:AJ32),{1;1;1;1;1})=1))</f>
        <v/>
      </c>
    </row>
    <row r="14">
      <c r="A14" t="inlineStr">
        <is>
          <t>runs with 2+ labels</t>
        </is>
      </c>
      <c r="B14">
        <f>SUMPRODUCT(--(MMULT(--(Labels!AF3:AJ32),{1;1;1;1;1})&gt;=2))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2026-05-01T13:40:23Z</dcterms:created>
  <dcterms:modified xmlns:dcterms="http://purl.org/dc/terms/" xmlns:xsi="http://www.w3.org/2001/XMLSchema-instance" xsi:type="dcterms:W3CDTF">2026-05-02T14:07:16Z</dcterms:modified>
  <cp:lastModifiedBy>Jeff Ginn</cp:lastModifiedBy>
  <cp:revision>0</cp:revision>
</cp:coreProperties>
</file>