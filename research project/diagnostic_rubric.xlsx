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jeff/Projects/JHU_705_605_Intro_to_GenAI/research project/"/>
    </mc:Choice>
  </mc:AlternateContent>
  <xr:revisionPtr revIDLastSave="0" documentId="13_ncr:1_{6E0E1355-63C9-FF4C-83C8-277D41D2EE02}" xr6:coauthVersionLast="47" xr6:coauthVersionMax="47" xr10:uidLastSave="{00000000-0000-0000-0000-000000000000}"/>
  <bookViews>
    <workbookView xWindow="10960" yWindow="760" windowWidth="20080" windowHeight="18880" tabRatio="500" activeTab="1" xr2:uid="{00000000-000D-0000-FFFF-FFFF00000000}"/>
  </bookViews>
  <sheets>
    <sheet name="Instructions" sheetId="1" r:id="rId1"/>
    <sheet name="Scoring" sheetId="2" r:id="rId2"/>
    <sheet name="Summary"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8" i="3" l="1"/>
  <c r="B16" i="3"/>
  <c r="B15" i="3"/>
  <c r="B14" i="3"/>
  <c r="B13" i="3"/>
  <c r="B12" i="3"/>
  <c r="H7" i="3"/>
  <c r="G7" i="3"/>
  <c r="F7" i="3"/>
  <c r="E7" i="3"/>
  <c r="D7" i="3"/>
  <c r="C7" i="3"/>
  <c r="B7" i="3"/>
  <c r="H6" i="3"/>
  <c r="G6" i="3"/>
  <c r="F6" i="3"/>
  <c r="E6" i="3"/>
  <c r="D6" i="3"/>
  <c r="C6" i="3"/>
  <c r="B6" i="3"/>
  <c r="H5" i="3"/>
  <c r="G5" i="3"/>
  <c r="F5" i="3"/>
  <c r="E5" i="3"/>
  <c r="D5" i="3"/>
  <c r="C5" i="3"/>
  <c r="B5" i="3"/>
</calcChain>
</file>

<file path=xl/sharedStrings.xml><?xml version="1.0" encoding="utf-8"?>
<sst xmlns="http://schemas.openxmlformats.org/spreadsheetml/2006/main" count="88" uniqueCount="77">
  <si>
    <t>Diagnostic-Quality Rubric Worksheet</t>
  </si>
  <si>
    <t>Purpose</t>
  </si>
  <si>
    <t>Score the three worked-example diagnostics from the notebook's Section 9 on five criteria,</t>
  </si>
  <si>
    <t>each on a 1-5 Likert scale. Per-diagnostic totals (max 25) and overall mean are computed</t>
  </si>
  <si>
    <t>automatically in the Summary sheet. The scores feed Section 6.5 of the final paper as a</t>
  </si>
  <si>
    <t>quantitative complement to the qualitative discussion already present.</t>
  </si>
  <si>
    <t>How to use</t>
  </si>
  <si>
    <t>1. Open the Scoring sheet.</t>
  </si>
  <si>
    <t>2. For each of the three diagnostics, read the diagnostic text in the row, then assign a</t>
  </si>
  <si>
    <t xml:space="preserve">   score 1-5 in each of the five score columns. Cells have data validation; only 1-5 is accepted.</t>
  </si>
  <si>
    <t>3. Add free-text notes in the notes column when a score below 4 needs a one-line justification.</t>
  </si>
  <si>
    <t>4. Save the file. The notebook will load it and the Summary sheet will be regenerated.</t>
  </si>
  <si>
    <t>Criteria definitions</t>
  </si>
  <si>
    <t xml:space="preserve">  Factual Accuracy (factual_accuracy)</t>
  </si>
  <si>
    <t xml:space="preserve">    Are the claims about the run supported by the run's metric evidence? Are any numerical thresholds or facts fabricated?</t>
  </si>
  <si>
    <t xml:space="preserve">  Completeness (completeness)</t>
  </si>
  <si>
    <t xml:space="preserve">    Does the diagnostic name every bottleneck the heuristic rules detected (or explicitly recognize a healthy run)?</t>
  </si>
  <si>
    <t xml:space="preserve">  Actionability (actionability)</t>
  </si>
  <si>
    <t xml:space="preserve">    Are the recommendations specific and concrete (named parameters, named techniques) versus vague?</t>
  </si>
  <si>
    <t xml:space="preserve">  Terminology Correctness (terminology)</t>
  </si>
  <si>
    <t xml:space="preserve">    Are MIP/LP/solver terms used precisely and in their standard senses?</t>
  </si>
  <si>
    <t xml:space="preserve">  Conciseness (conciseness)</t>
  </si>
  <si>
    <t xml:space="preserve">    Is the diagnostic an appropriately tight single paragraph without padding or repetition?</t>
  </si>
  <si>
    <t>Score anchors (apply to every criterion)</t>
  </si>
  <si>
    <t xml:space="preserve">  5 - excellent: meets the criterion fully; would pass an expert review without comment.</t>
  </si>
  <si>
    <t xml:space="preserve">  4 - good: meets the criterion with one minor issue worth noting but not concerning.</t>
  </si>
  <si>
    <t xml:space="preserve">  3 - acceptable: clear deficiency on one dimension but the diagnostic is still useful.</t>
  </si>
  <si>
    <t xml:space="preserve">  2 - poor: multiple issues; would mislead a reader.</t>
  </si>
  <si>
    <t xml:space="preserve">  1 - unacceptable: fundamentally fails the criterion (degenerate output, fabricated facts, no recommendation).</t>
  </si>
  <si>
    <t>Notes on bias</t>
  </si>
  <si>
    <t>This is a single-reviewer rubric applied by the project author, not an inter-annotator</t>
  </si>
  <si>
    <t>study. The H1 caveat about the healthy-run hallucination is already documented in the report;</t>
  </si>
  <si>
    <t>scoring honestly here will reflect that caveat in the numbers, which is the intended outcome.</t>
  </si>
  <si>
    <t>IDENTITY</t>
  </si>
  <si>
    <t>EVIDENCE (read-only)</t>
  </si>
  <si>
    <t>SCORES 1-5 - EDIT THESE</t>
  </si>
  <si>
    <t>NOTES</t>
  </si>
  <si>
    <t>diagnostic_id</t>
  </si>
  <si>
    <t>config</t>
  </si>
  <si>
    <t>heuristic_labels</t>
  </si>
  <si>
    <t>retrieved</t>
  </si>
  <si>
    <t>diagnostic_text</t>
  </si>
  <si>
    <t>factual_accuracy</t>
  </si>
  <si>
    <t>completeness</t>
  </si>
  <si>
    <t>actionability</t>
  </si>
  <si>
    <t>terminology</t>
  </si>
  <si>
    <t>conciseness</t>
  </si>
  <si>
    <t>notes</t>
  </si>
  <si>
    <t>unitcal_7</t>
  </si>
  <si>
    <t>branching_heavy</t>
  </si>
  <si>
    <t>excessive_branching, ineffective_cuts</t>
  </si>
  <si>
    <t>excessive_branching (0.658), excessive_branching (0.621), ineffective_cuts (0.479)</t>
  </si>
  <si>
    <t>The SOLVER RUN of the problem unitcal_7 appears to be experiencing significant performance issues, with the solver timing out at 3601 seconds and 0.1% gap remaining. The detected bottleneck is excessive_branching, which is indicated by a high node count (2,669,926) relative to the number of variables (25,755). This suggests that the branch-and-bound tree is exploding due to poor variable selection, and the LP relaxation is loose, leading to a significant gap. To address this, I recommend enabling strong branching, using pseudocost branching, adding symmetry-breaking constraints, or increasing cut aggressiveness to tighten the relaxation before branching. Additionally, the ineffective_cuts rule suggests that the cutting plane behavior is weak, which may be contributing to the excessive_branching issue. By strengthening the formulation upstream, we can help to improve the LP bound and reduce the gap, thereby improving the solver's performance.</t>
  </si>
  <si>
    <t>gfd-schedulen180f7d50m30k18</t>
  </si>
  <si>
    <t>weak_root_lp</t>
  </si>
  <si>
    <t>weak_root_lp (0.495), weak_root_lp (0.368)</t>
  </si>
  <si>
    <t>The SOLVER RUN of the Mixed-Integer Programming solver gfd-schedulen180f7d50m30k18 indicates a significant bottleneck in the weak_root_lp relaxation, which is characterized by a large optimality gap remaining at solver termination. This is likely due to the LP bound being far from the integer optimum, prompting the solver to terminate with a status of no_solution. To address this issue, I recommend increasing the presolve passes to 5, as this can help to strengthen the formulation and generate more valid inequalities, thereby reducing the optimality gap. Additionally, enabling more aggressive cut generation (cut_aggressiveness=2 or 3) may also be beneficial, as this can help to improve the solver's ability to find a solution.</t>
  </si>
  <si>
    <t>air05 (healthy)</t>
  </si>
  <si>
    <t>(none)</t>
  </si>
  <si>
    <t>healthy_solve (0.501), healthy_solve (0.423)</t>
  </si>
  <si>
    <t>The Mixed-Integer Programming solver run for problem air05 appears to be healthy, with no detected bottlenecks. The run was completed in 12 seconds, indicating efficient exploration and optimization. The solver also generated 3,672 cuts, which is a reasonable number considering the problem size. The dual bound was reduced from 2.588e+04 to 2.637e+04, which is a small improvement. However, the presolve variable reduction was only 15%, which is below the 10% threshold typically required for a healthy solver run. This suggests that the solver is not yet optimized for the problem, and a configuration change may be necessary to improve performance. Specifically, I recommend increasing the presolve reduction threshold to 20% or more to help the solver better handle the problem's complexity.</t>
  </si>
  <si>
    <t>Live summary of rubric scores</t>
  </si>
  <si>
    <t>Per-diagnostic totals (max 25)</t>
  </si>
  <si>
    <t>diagnostic</t>
  </si>
  <si>
    <t>total</t>
  </si>
  <si>
    <t>mean</t>
  </si>
  <si>
    <t>Per-criterion mean across diagnostics</t>
  </si>
  <si>
    <t>criterion</t>
  </si>
  <si>
    <t>Factual Accuracy</t>
  </si>
  <si>
    <t>Completeness</t>
  </si>
  <si>
    <t>Actionability</t>
  </si>
  <si>
    <t>Terminology Correctness</t>
  </si>
  <si>
    <t>Conciseness</t>
  </si>
  <si>
    <t>Overall mean (all scores)</t>
  </si>
  <si>
    <r>
      <t xml:space="preserve">The phrase "leading to a significant gap" misrepresents the run since the actual gap is only 0.1% (the </t>
    </r>
    <r>
      <rPr>
        <i/>
        <sz val="11"/>
        <color theme="1"/>
        <rFont val="Calibri"/>
        <family val="2"/>
        <charset val="1"/>
      </rPr>
      <t>timeout</t>
    </r>
    <r>
      <rPr>
        <sz val="11"/>
        <color theme="1"/>
        <rFont val="Calibri"/>
        <family val="2"/>
        <charset val="1"/>
      </rPr>
      <t xml:space="preserve"> is the real issue, not gap size).
The last sentence is redundant, it just restates the conclusion from the prior sentence.</t>
    </r>
  </si>
  <si>
    <t xml:space="preserve">"below the 10% threshold typically required for a healthy solver run" is a hallucination, that threshold does not exist.
"the dual bound was reduced from 2.588e+04 to 2.637e+04" is an increase, not a deduction.
The conclusion, "the solver is not yet optimizaed for the problem" is not supported and factually incorrect. </t>
  </si>
  <si>
    <t>The reccommendations do not match Rose input parameter names so a user wanting to action on this would need to perofrm a mapping. 
Correctly names the weak_root_lp label, but the causal explanation for no_solution is not well supported by the shown evidence. Recommendations are somewhat actionable. 
The conclusion that solver terminates because of the distance between the LP bound and integer optimum is not supported and likely incorrect.
Terminology around the LP bound/integer optimum is imprecise.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</si>
</sst>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name val="Calibri"/>
      <charset val="1"/>
    </font>
    <font>
      <sz val="11"/>
      <name val="Calibri"/>
      <charset val="1"/>
    </font>
    <font>
      <b/>
      <sz val="13"/>
      <name val="Calibri"/>
      <charset val="1"/>
    </font>
    <font>
      <b/>
      <sz val="12"/>
      <name val="Calibri"/>
      <charset val="1"/>
    </font>
    <font>
      <b/>
      <sz val="11"/>
      <name val="Cambria"/>
      <charset val="1"/>
    </font>
    <font>
      <b/>
      <sz val="14"/>
      <name val="Cambria"/>
      <charset val="1"/>
    </font>
    <font>
      <i/>
      <sz val="11"/>
      <color theme="1"/>
      <name val="Calibri"/>
      <family val="2"/>
      <charset val="1"/>
    </font>
  </fonts>
  <fills count="7">
    <fill>
      <patternFill patternType="none"/>
    </fill>
    <fill>
      <patternFill patternType="gray125"/>
    </fill>
    <fill>
      <patternFill patternType="solid">
        <fgColor rgb="FFD9D9D9"/>
        <bgColor rgb="FFE1EBF7"/>
      </patternFill>
    </fill>
    <fill>
      <patternFill patternType="solid">
        <fgColor rgb="FFE1EBF7"/>
        <bgColor rgb="FFEAF6EA"/>
      </patternFill>
    </fill>
    <fill>
      <patternFill patternType="solid">
        <fgColor rgb="FFC6EFCE"/>
        <bgColor rgb="FFD9D9D9"/>
      </patternFill>
    </fill>
    <fill>
      <patternFill patternType="solid">
        <fgColor rgb="FFF2F2F2"/>
        <bgColor rgb="FFEAF6EA"/>
      </patternFill>
    </fill>
    <fill>
      <patternFill patternType="solid">
        <fgColor rgb="FFEAF6EA"/>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5" fillId="4" borderId="0" xfId="0" applyFont="1" applyFill="1" applyAlignment="1">
      <alignment horizontal="center"/>
    </xf>
    <xf numFmtId="0" fontId="5" fillId="3" borderId="0" xfId="0" applyFont="1" applyFill="1" applyAlignment="1">
      <alignment horizontal="center"/>
    </xf>
    <xf numFmtId="0" fontId="5" fillId="2" borderId="0" xfId="0" applyFont="1" applyFill="1" applyAlignment="1">
      <alignment horizontal="center"/>
    </xf>
    <xf numFmtId="0" fontId="1" fillId="0" borderId="0" xfId="0" applyFont="1"/>
    <xf numFmtId="0" fontId="2" fillId="0" borderId="0" xfId="0" applyFont="1"/>
    <xf numFmtId="0" fontId="3" fillId="0" borderId="0" xfId="0" applyFont="1"/>
    <xf numFmtId="0" fontId="4" fillId="0" borderId="0" xfId="0" applyFont="1"/>
    <xf numFmtId="0" fontId="5" fillId="5" borderId="0" xfId="0" applyFont="1" applyFill="1" applyAlignment="1">
      <alignment horizontal="center"/>
    </xf>
    <xf numFmtId="0" fontId="5" fillId="2" borderId="1" xfId="0" applyFont="1" applyFill="1" applyBorder="1" applyAlignment="1">
      <alignment horizontal="center" wrapText="1"/>
    </xf>
    <xf numFmtId="0" fontId="5" fillId="3" borderId="1" xfId="0" applyFont="1" applyFill="1" applyBorder="1" applyAlignment="1">
      <alignment horizontal="center" wrapText="1"/>
    </xf>
    <xf numFmtId="0" fontId="5" fillId="4" borderId="1" xfId="0" applyFont="1" applyFill="1" applyBorder="1" applyAlignment="1">
      <alignment horizontal="center" wrapText="1"/>
    </xf>
    <xf numFmtId="0" fontId="5" fillId="5"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5" fillId="6" borderId="1" xfId="0" applyFont="1" applyFill="1" applyBorder="1" applyAlignment="1">
      <alignment horizontal="center" vertical="center"/>
    </xf>
    <xf numFmtId="0" fontId="6" fillId="0" borderId="0" xfId="0" applyFont="1"/>
    <xf numFmtId="0" fontId="5" fillId="0" borderId="0" xfId="0" applyFont="1"/>
    <xf numFmtId="2" fontId="0" fillId="0" borderId="0" xfId="0" applyNumberFormat="1"/>
    <xf numFmtId="0" fontId="0" fillId="0" borderId="0" xfId="0" applyAlignment="1">
      <alignment vertical="top" wrapText="1"/>
    </xf>
  </cellXfs>
  <cellStyles count="1">
    <cellStyle name="Normal" xfId="0" builtinId="0"/>
  </cellStyles>
  <dxfs count="2">
    <dxf>
      <fill>
        <patternFill>
          <bgColor rgb="FFC6EFCE"/>
        </patternFill>
      </fill>
    </dxf>
    <dxf>
      <fill>
        <patternFill>
          <bgColor rgb="FFFFC7CE"/>
        </patternFill>
      </fill>
    </dxf>
  </dxf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6EA"/>
      <rgbColor rgb="FFE1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
  <sheetViews>
    <sheetView zoomScaleNormal="100" workbookViewId="0"/>
  </sheetViews>
  <sheetFormatPr baseColWidth="10" defaultColWidth="8.6640625" defaultRowHeight="15" x14ac:dyDescent="0.2"/>
  <cols>
    <col min="1" max="1" width="110" customWidth="1"/>
  </cols>
  <sheetData>
    <row r="1" spans="1:1" ht="21" x14ac:dyDescent="0.25">
      <c r="A1" s="4" t="s">
        <v>0</v>
      </c>
    </row>
    <row r="2" spans="1:1" x14ac:dyDescent="0.2">
      <c r="A2" s="5"/>
    </row>
    <row r="3" spans="1:1" ht="17" x14ac:dyDescent="0.2">
      <c r="A3" s="6" t="s">
        <v>1</v>
      </c>
    </row>
    <row r="4" spans="1:1" x14ac:dyDescent="0.2">
      <c r="A4" s="5" t="s">
        <v>2</v>
      </c>
    </row>
    <row r="5" spans="1:1" x14ac:dyDescent="0.2">
      <c r="A5" s="5" t="s">
        <v>3</v>
      </c>
    </row>
    <row r="6" spans="1:1" x14ac:dyDescent="0.2">
      <c r="A6" s="5" t="s">
        <v>4</v>
      </c>
    </row>
    <row r="7" spans="1:1" x14ac:dyDescent="0.2">
      <c r="A7" s="5" t="s">
        <v>5</v>
      </c>
    </row>
    <row r="8" spans="1:1" x14ac:dyDescent="0.2">
      <c r="A8" s="5"/>
    </row>
    <row r="9" spans="1:1" ht="17" x14ac:dyDescent="0.2">
      <c r="A9" s="6" t="s">
        <v>6</v>
      </c>
    </row>
    <row r="10" spans="1:1" x14ac:dyDescent="0.2">
      <c r="A10" s="5" t="s">
        <v>7</v>
      </c>
    </row>
    <row r="11" spans="1:1" x14ac:dyDescent="0.2">
      <c r="A11" s="5" t="s">
        <v>8</v>
      </c>
    </row>
    <row r="12" spans="1:1" x14ac:dyDescent="0.2">
      <c r="A12" s="5" t="s">
        <v>9</v>
      </c>
    </row>
    <row r="13" spans="1:1" x14ac:dyDescent="0.2">
      <c r="A13" s="5" t="s">
        <v>10</v>
      </c>
    </row>
    <row r="14" spans="1:1" x14ac:dyDescent="0.2">
      <c r="A14" s="5" t="s">
        <v>11</v>
      </c>
    </row>
    <row r="15" spans="1:1" x14ac:dyDescent="0.2">
      <c r="A15" s="5"/>
    </row>
    <row r="16" spans="1:1" ht="17" x14ac:dyDescent="0.2">
      <c r="A16" s="6" t="s">
        <v>12</v>
      </c>
    </row>
    <row r="17" spans="1:1" ht="16" x14ac:dyDescent="0.2">
      <c r="A17" s="7" t="s">
        <v>13</v>
      </c>
    </row>
    <row r="18" spans="1:1" x14ac:dyDescent="0.2">
      <c r="A18" s="5" t="s">
        <v>14</v>
      </c>
    </row>
    <row r="19" spans="1:1" x14ac:dyDescent="0.2">
      <c r="A19" s="5"/>
    </row>
    <row r="20" spans="1:1" ht="16" x14ac:dyDescent="0.2">
      <c r="A20" s="7" t="s">
        <v>15</v>
      </c>
    </row>
    <row r="21" spans="1:1" x14ac:dyDescent="0.2">
      <c r="A21" s="5" t="s">
        <v>16</v>
      </c>
    </row>
    <row r="22" spans="1:1" x14ac:dyDescent="0.2">
      <c r="A22" s="5"/>
    </row>
    <row r="23" spans="1:1" ht="16" x14ac:dyDescent="0.2">
      <c r="A23" s="7" t="s">
        <v>17</v>
      </c>
    </row>
    <row r="24" spans="1:1" x14ac:dyDescent="0.2">
      <c r="A24" s="5" t="s">
        <v>18</v>
      </c>
    </row>
    <row r="25" spans="1:1" x14ac:dyDescent="0.2">
      <c r="A25" s="5"/>
    </row>
    <row r="26" spans="1:1" ht="16" x14ac:dyDescent="0.2">
      <c r="A26" s="7" t="s">
        <v>19</v>
      </c>
    </row>
    <row r="27" spans="1:1" x14ac:dyDescent="0.2">
      <c r="A27" s="5" t="s">
        <v>20</v>
      </c>
    </row>
    <row r="28" spans="1:1" x14ac:dyDescent="0.2">
      <c r="A28" s="5"/>
    </row>
    <row r="29" spans="1:1" ht="16" x14ac:dyDescent="0.2">
      <c r="A29" s="7" t="s">
        <v>21</v>
      </c>
    </row>
    <row r="30" spans="1:1" x14ac:dyDescent="0.2">
      <c r="A30" s="5" t="s">
        <v>22</v>
      </c>
    </row>
    <row r="31" spans="1:1" x14ac:dyDescent="0.2">
      <c r="A31" s="5"/>
    </row>
    <row r="32" spans="1:1" ht="17" x14ac:dyDescent="0.2">
      <c r="A32" s="6" t="s">
        <v>23</v>
      </c>
    </row>
    <row r="33" spans="1:1" x14ac:dyDescent="0.2">
      <c r="A33" s="5" t="s">
        <v>24</v>
      </c>
    </row>
    <row r="34" spans="1:1" x14ac:dyDescent="0.2">
      <c r="A34" s="5" t="s">
        <v>25</v>
      </c>
    </row>
    <row r="35" spans="1:1" x14ac:dyDescent="0.2">
      <c r="A35" s="5" t="s">
        <v>26</v>
      </c>
    </row>
    <row r="36" spans="1:1" x14ac:dyDescent="0.2">
      <c r="A36" s="5" t="s">
        <v>27</v>
      </c>
    </row>
    <row r="37" spans="1:1" x14ac:dyDescent="0.2">
      <c r="A37" s="5" t="s">
        <v>28</v>
      </c>
    </row>
    <row r="38" spans="1:1" x14ac:dyDescent="0.2">
      <c r="A38" s="5"/>
    </row>
    <row r="39" spans="1:1" ht="17" x14ac:dyDescent="0.2">
      <c r="A39" s="6" t="s">
        <v>29</v>
      </c>
    </row>
    <row r="40" spans="1:1" x14ac:dyDescent="0.2">
      <c r="A40" s="5" t="s">
        <v>30</v>
      </c>
    </row>
    <row r="41" spans="1:1" x14ac:dyDescent="0.2">
      <c r="A41" s="5" t="s">
        <v>31</v>
      </c>
    </row>
    <row r="42" spans="1:1" x14ac:dyDescent="0.2">
      <c r="A42" s="5" t="s">
        <v>32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
  <sheetViews>
    <sheetView tabSelected="1" zoomScaleNormal="100" workbookViewId="0">
      <pane xSplit="2" ySplit="2" topLeftCell="E3" activePane="bottomRight" state="frozen"/>
      <selection pane="topRight" activeCell="C1" sqref="C1"/>
      <selection pane="bottomLeft" activeCell="A3" sqref="A3"/>
      <selection pane="bottomRight" activeCell="J5" sqref="J5"/>
    </sheetView>
  </sheetViews>
  <sheetFormatPr baseColWidth="10" defaultColWidth="8.6640625" defaultRowHeight="15" x14ac:dyDescent="0.2"/>
  <cols>
    <col min="1" max="1" width="28" customWidth="1"/>
    <col min="2" max="2" width="18" customWidth="1"/>
    <col min="3" max="3" width="32" customWidth="1"/>
    <col min="4" max="4" width="42" customWidth="1"/>
    <col min="5" max="5" width="70" customWidth="1"/>
    <col min="6" max="10" width="11" customWidth="1"/>
    <col min="11" max="11" width="35" customWidth="1"/>
  </cols>
  <sheetData>
    <row r="1" spans="1:11" x14ac:dyDescent="0.2">
      <c r="A1" s="3" t="s">
        <v>33</v>
      </c>
      <c r="B1" s="3"/>
      <c r="C1" s="2" t="s">
        <v>34</v>
      </c>
      <c r="D1" s="2"/>
      <c r="E1" s="2"/>
      <c r="F1" s="1" t="s">
        <v>35</v>
      </c>
      <c r="G1" s="1"/>
      <c r="H1" s="1"/>
      <c r="I1" s="1"/>
      <c r="J1" s="1"/>
      <c r="K1" s="8" t="s">
        <v>36</v>
      </c>
    </row>
    <row r="2" spans="1:11" ht="31" x14ac:dyDescent="0.2">
      <c r="A2" s="9" t="s">
        <v>37</v>
      </c>
      <c r="B2" s="9" t="s">
        <v>38</v>
      </c>
      <c r="C2" s="10" t="s">
        <v>39</v>
      </c>
      <c r="D2" s="10" t="s">
        <v>40</v>
      </c>
      <c r="E2" s="10" t="s">
        <v>41</v>
      </c>
      <c r="F2" s="11" t="s">
        <v>42</v>
      </c>
      <c r="G2" s="11" t="s">
        <v>43</v>
      </c>
      <c r="H2" s="11" t="s">
        <v>44</v>
      </c>
      <c r="I2" s="11" t="s">
        <v>45</v>
      </c>
      <c r="J2" s="11" t="s">
        <v>46</v>
      </c>
      <c r="K2" s="12" t="s">
        <v>47</v>
      </c>
    </row>
    <row r="3" spans="1:11" ht="199.5" customHeight="1" x14ac:dyDescent="0.2">
      <c r="A3" s="13" t="s">
        <v>48</v>
      </c>
      <c r="B3" s="13" t="s">
        <v>49</v>
      </c>
      <c r="C3" s="13" t="s">
        <v>50</v>
      </c>
      <c r="D3" s="14" t="s">
        <v>51</v>
      </c>
      <c r="E3" s="14" t="s">
        <v>52</v>
      </c>
      <c r="F3" s="15">
        <v>4</v>
      </c>
      <c r="G3" s="15">
        <v>5</v>
      </c>
      <c r="H3" s="15">
        <v>4</v>
      </c>
      <c r="I3" s="15">
        <v>5</v>
      </c>
      <c r="J3" s="15">
        <v>3</v>
      </c>
      <c r="K3" s="19" t="s">
        <v>74</v>
      </c>
    </row>
    <row r="4" spans="1:11" ht="271" customHeight="1" x14ac:dyDescent="0.2">
      <c r="A4" s="13" t="s">
        <v>53</v>
      </c>
      <c r="B4" s="13" t="s">
        <v>49</v>
      </c>
      <c r="C4" s="13" t="s">
        <v>54</v>
      </c>
      <c r="D4" s="14" t="s">
        <v>55</v>
      </c>
      <c r="E4" s="14" t="s">
        <v>56</v>
      </c>
      <c r="F4" s="15">
        <v>2</v>
      </c>
      <c r="G4" s="15">
        <v>5</v>
      </c>
      <c r="H4" s="15">
        <v>3</v>
      </c>
      <c r="I4" s="15">
        <v>4</v>
      </c>
      <c r="J4" s="15">
        <v>4</v>
      </c>
      <c r="K4" s="14" t="s">
        <v>76</v>
      </c>
    </row>
    <row r="5" spans="1:11" ht="199.5" customHeight="1" x14ac:dyDescent="0.2">
      <c r="A5" s="13" t="s">
        <v>57</v>
      </c>
      <c r="B5" s="13" t="s">
        <v>49</v>
      </c>
      <c r="C5" s="13" t="s">
        <v>58</v>
      </c>
      <c r="D5" s="14" t="s">
        <v>59</v>
      </c>
      <c r="E5" s="14" t="s">
        <v>60</v>
      </c>
      <c r="F5" s="15">
        <v>1</v>
      </c>
      <c r="G5" s="15">
        <v>3</v>
      </c>
      <c r="H5" s="15">
        <v>1</v>
      </c>
      <c r="I5" s="15">
        <v>2</v>
      </c>
      <c r="J5" s="15">
        <v>3</v>
      </c>
      <c r="K5" s="14" t="s">
        <v>75</v>
      </c>
    </row>
  </sheetData>
  <mergeCells count="3">
    <mergeCell ref="A1:B1"/>
    <mergeCell ref="C1:E1"/>
    <mergeCell ref="F1:J1"/>
  </mergeCells>
  <conditionalFormatting sqref="F3:J5">
    <cfRule type="cellIs" dxfId="1" priority="2" operator="lessThanOrEqual">
      <formula>2</formula>
    </cfRule>
    <cfRule type="cellIs" dxfId="0" priority="3" operator="greaterThanOrEqual">
      <formula>4</formula>
    </cfRule>
  </conditionalFormatting>
  <dataValidations count="1">
    <dataValidation type="list" errorTitle="Invalid score" error="Use 1-5 only." promptTitle="Likert score" prompt="Score 1 (worst) through 5 (best). See Instructions for anchors." sqref="F3:J5" xr:uid="{00000000-0002-0000-0100-000000000000}">
      <formula1>"1,2,3,4,5"</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Normal="100" workbookViewId="0"/>
  </sheetViews>
  <sheetFormatPr baseColWidth="10" defaultColWidth="8.6640625" defaultRowHeight="15" x14ac:dyDescent="0.2"/>
  <cols>
    <col min="1" max="1" width="32" customWidth="1"/>
    <col min="2" max="9" width="14" customWidth="1"/>
  </cols>
  <sheetData>
    <row r="1" spans="1:8" ht="18" x14ac:dyDescent="0.2">
      <c r="A1" s="16" t="s">
        <v>61</v>
      </c>
    </row>
    <row r="3" spans="1:8" x14ac:dyDescent="0.2">
      <c r="A3" s="17" t="s">
        <v>62</v>
      </c>
    </row>
    <row r="4" spans="1:8" x14ac:dyDescent="0.2">
      <c r="A4" s="17" t="s">
        <v>63</v>
      </c>
      <c r="B4" s="17" t="s">
        <v>42</v>
      </c>
      <c r="C4" s="17" t="s">
        <v>43</v>
      </c>
      <c r="D4" s="17" t="s">
        <v>44</v>
      </c>
      <c r="E4" s="17" t="s">
        <v>45</v>
      </c>
      <c r="F4" s="17" t="s">
        <v>46</v>
      </c>
      <c r="G4" s="17" t="s">
        <v>64</v>
      </c>
      <c r="H4" s="17" t="s">
        <v>65</v>
      </c>
    </row>
    <row r="5" spans="1:8" x14ac:dyDescent="0.2">
      <c r="A5" t="s">
        <v>48</v>
      </c>
      <c r="B5">
        <f>Scoring!F3</f>
        <v>4</v>
      </c>
      <c r="C5">
        <f>Scoring!G3</f>
        <v>5</v>
      </c>
      <c r="D5">
        <f>Scoring!H3</f>
        <v>4</v>
      </c>
      <c r="E5">
        <f>Scoring!I3</f>
        <v>5</v>
      </c>
      <c r="F5">
        <f>Scoring!J3</f>
        <v>3</v>
      </c>
      <c r="G5">
        <f>SUM(Scoring!F3,Scoring!G3,Scoring!H3,Scoring!I3,Scoring!J3)</f>
        <v>21</v>
      </c>
      <c r="H5" s="18">
        <f>AVERAGE(Scoring!F3,Scoring!G3,Scoring!H3,Scoring!I3,Scoring!J3)</f>
        <v>4.2</v>
      </c>
    </row>
    <row r="6" spans="1:8" x14ac:dyDescent="0.2">
      <c r="A6" t="s">
        <v>53</v>
      </c>
      <c r="B6">
        <f>Scoring!F4</f>
        <v>2</v>
      </c>
      <c r="C6">
        <f>Scoring!G4</f>
        <v>5</v>
      </c>
      <c r="D6">
        <f>Scoring!H4</f>
        <v>3</v>
      </c>
      <c r="E6">
        <f>Scoring!I4</f>
        <v>4</v>
      </c>
      <c r="F6">
        <f>Scoring!J4</f>
        <v>4</v>
      </c>
      <c r="G6">
        <f>SUM(Scoring!F4,Scoring!G4,Scoring!H4,Scoring!I4,Scoring!J4)</f>
        <v>18</v>
      </c>
      <c r="H6" s="18">
        <f>AVERAGE(Scoring!F4,Scoring!G4,Scoring!H4,Scoring!I4,Scoring!J4)</f>
        <v>3.6</v>
      </c>
    </row>
    <row r="7" spans="1:8" x14ac:dyDescent="0.2">
      <c r="A7" t="s">
        <v>57</v>
      </c>
      <c r="B7">
        <f>Scoring!F5</f>
        <v>1</v>
      </c>
      <c r="C7">
        <f>Scoring!G5</f>
        <v>3</v>
      </c>
      <c r="D7">
        <f>Scoring!H5</f>
        <v>1</v>
      </c>
      <c r="E7">
        <f>Scoring!I5</f>
        <v>2</v>
      </c>
      <c r="F7">
        <f>Scoring!J5</f>
        <v>3</v>
      </c>
      <c r="G7">
        <f>SUM(Scoring!F5,Scoring!G5,Scoring!H5,Scoring!I5,Scoring!J5)</f>
        <v>10</v>
      </c>
      <c r="H7" s="18">
        <f>AVERAGE(Scoring!F5,Scoring!G5,Scoring!H5,Scoring!I5,Scoring!J5)</f>
        <v>2</v>
      </c>
    </row>
    <row r="10" spans="1:8" x14ac:dyDescent="0.2">
      <c r="A10" s="17" t="s">
        <v>66</v>
      </c>
    </row>
    <row r="11" spans="1:8" x14ac:dyDescent="0.2">
      <c r="A11" s="17" t="s">
        <v>67</v>
      </c>
      <c r="B11" s="17" t="s">
        <v>65</v>
      </c>
    </row>
    <row r="12" spans="1:8" x14ac:dyDescent="0.2">
      <c r="A12" t="s">
        <v>68</v>
      </c>
      <c r="B12" s="18">
        <f>AVERAGE(Scoring!F3:F5)</f>
        <v>2.3333333333333335</v>
      </c>
    </row>
    <row r="13" spans="1:8" x14ac:dyDescent="0.2">
      <c r="A13" t="s">
        <v>69</v>
      </c>
      <c r="B13" s="18">
        <f>AVERAGE(Scoring!G3:G5)</f>
        <v>4.333333333333333</v>
      </c>
    </row>
    <row r="14" spans="1:8" x14ac:dyDescent="0.2">
      <c r="A14" t="s">
        <v>70</v>
      </c>
      <c r="B14" s="18">
        <f>AVERAGE(Scoring!H3:H5)</f>
        <v>2.6666666666666665</v>
      </c>
    </row>
    <row r="15" spans="1:8" x14ac:dyDescent="0.2">
      <c r="A15" t="s">
        <v>71</v>
      </c>
      <c r="B15" s="18">
        <f>AVERAGE(Scoring!I3:I5)</f>
        <v>3.6666666666666665</v>
      </c>
    </row>
    <row r="16" spans="1:8" x14ac:dyDescent="0.2">
      <c r="A16" t="s">
        <v>72</v>
      </c>
      <c r="B16" s="18">
        <f>AVERAGE(Scoring!J3:J5)</f>
        <v>3.3333333333333335</v>
      </c>
    </row>
    <row r="18" spans="1:2" x14ac:dyDescent="0.2">
      <c r="A18" s="17" t="s">
        <v>73</v>
      </c>
      <c r="B18" s="18">
        <f>AVERAGE(Scoring!F3:J5)</f>
        <v>3.2666666666666666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Scoring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Jeff Ginn</cp:lastModifiedBy>
  <cp:revision>0</cp:revision>
  <dcterms:created xsi:type="dcterms:W3CDTF">2026-05-03T17:09:41Z</dcterms:created>
  <dcterms:modified xsi:type="dcterms:W3CDTF">2026-05-03T18:09:42Z</dcterms:modified>
  <dc:language>en-US</dc:language>
</cp:coreProperties>
</file>